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ee\Downloads\"/>
    </mc:Choice>
  </mc:AlternateContent>
  <xr:revisionPtr revIDLastSave="0" documentId="13_ncr:1_{DB9DABEE-C32E-4F98-8C7E-AC82CAFCBD34}" xr6:coauthVersionLast="47" xr6:coauthVersionMax="47" xr10:uidLastSave="{00000000-0000-0000-0000-000000000000}"/>
  <bookViews>
    <workbookView xWindow="-110" yWindow="-110" windowWidth="19420" windowHeight="10300" xr2:uid="{0709F1E1-F1F4-47FC-A275-7F1E846FF281}"/>
  </bookViews>
  <sheets>
    <sheet name="SprintBacklo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7" i="1" l="1"/>
  <c r="J57" i="1"/>
  <c r="H57" i="1"/>
  <c r="G57" i="1"/>
  <c r="F57" i="1"/>
  <c r="E57" i="1"/>
  <c r="I49" i="1"/>
  <c r="I57" i="1" s="1"/>
</calcChain>
</file>

<file path=xl/sharedStrings.xml><?xml version="1.0" encoding="utf-8"?>
<sst xmlns="http://schemas.openxmlformats.org/spreadsheetml/2006/main" count="111" uniqueCount="56">
  <si>
    <t>Sprint Backlog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</si>
  <si>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</si>
  <si>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</si>
  <si>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</si>
  <si>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</si>
  <si>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</si>
  <si>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>volunteer</t>
  </si>
  <si>
    <t>6.) As an admin, I want to keep the users updated on their reported incidents.</t>
  </si>
  <si>
    <t>วิเคราะห์ วางแผนระบบ (A-DAPT Blueprint)</t>
  </si>
  <si>
    <t>ออกแบบตาราง Incident_status_logs</t>
  </si>
  <si>
    <t>ปรับปรุงschemaเพื่อรองรับตาราง Incident_status_logs</t>
  </si>
  <si>
    <t>พัฒนา API การเปลี่ยนสถานะ</t>
  </si>
  <si>
    <t>ออกแบบ wirefreame from admin change status</t>
  </si>
  <si>
    <t>ออกแบบFigmaสำหรับ Frontend</t>
  </si>
  <si>
    <t>Implement code ฝั่ง Frontend</t>
  </si>
  <si>
    <t>API Test</t>
  </si>
  <si>
    <t>ทดสอบ Test Design</t>
  </si>
  <si>
    <t>เตรียมข้อมูลสำหรับ Test Data</t>
  </si>
  <si>
    <t>ทดสอบ Unit Test</t>
  </si>
  <si>
    <t>deploy product</t>
  </si>
  <si>
    <t>User Manual</t>
  </si>
  <si>
    <t>Change log</t>
  </si>
  <si>
    <t>UAT Test</t>
  </si>
  <si>
    <t>11.) As a driver, I want to report incidents to the admin and get the update on the filed case.</t>
  </si>
  <si>
    <t>ออกแบบตาราง Incident</t>
  </si>
  <si>
    <t>ปรับปรุง Prisma Schema เพื่อรองรับตาราง Incidents</t>
  </si>
  <si>
    <t>พัฒนา API Incident ฝั่ง Driver</t>
  </si>
  <si>
    <t>พัฒนา API Incident ฝั่ง Admin</t>
  </si>
  <si>
    <t>ออกแบบ wireframe ในส่วนของ form incident Admin</t>
  </si>
  <si>
    <t>ออกแบบ wireframe หน้าติดตามความคืบหน้าของเคส</t>
  </si>
  <si>
    <t>ทำการปรับแก้ Figma สำหรับ Frontend</t>
  </si>
  <si>
    <t>ปรับแก้ code ฝั่ง frontend</t>
  </si>
  <si>
    <t>ทดสอบ API Test</t>
  </si>
  <si>
    <t>ทดสอบ UAT Test</t>
  </si>
  <si>
    <t>change log</t>
  </si>
  <si>
    <t>Deploy product</t>
  </si>
  <si>
    <t>13.) As a passenger, I want to report the driver behavior to the admin and get the update on the filed case.</t>
  </si>
  <si>
    <t>ปรับแก้ wireframe ในส่วนของ form incident (Driver &amp; Passenger)</t>
  </si>
  <si>
    <t>พัฒนา API Report ฝั่ง Passenger</t>
  </si>
  <si>
    <t>พัฒนา API ฝั่ง Admin</t>
  </si>
  <si>
    <t>นายพิษณุวัชร์ หงส์วิไล</t>
  </si>
  <si>
    <t>นายอรรณพ แสงศิลา</t>
  </si>
  <si>
    <t>นายณัฐดนัย ชาวไทย</t>
  </si>
  <si>
    <t>นางสาวศุจีภรณ์ ภูบาลชื่น</t>
  </si>
  <si>
    <t>นายศุภกฤต แก้วแกมทอง</t>
  </si>
  <si>
    <t>นายศุภกฤต แก้วแกมทอง นายสรยุทธิ์  บุญกัลยา</t>
  </si>
  <si>
    <t>นายอรรณพ แสงศิลา นายศุภกฤต แก้วแกมทอง</t>
  </si>
  <si>
    <t>นายศุภกฤต แก้วแกมทอง นายอรรณพ แสงศิลา</t>
  </si>
  <si>
    <t>นายสรยุทธิ์  บุญกัลยา</t>
  </si>
  <si>
    <t>663380381-5</t>
  </si>
  <si>
    <t>663380413-8</t>
  </si>
  <si>
    <t>663380613-0</t>
  </si>
  <si>
    <t>663380404-9</t>
  </si>
  <si>
    <t>663380609-1</t>
  </si>
  <si>
    <t>663380614-8</t>
  </si>
  <si>
    <t>สมาชิก กบุ่มที่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</si>
</sst>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20"/>
      <color theme="1"/>
      <name val="Cordia New"/>
      <family val="2"/>
    </font>
    <font>
      <b/>
      <sz val="20"/>
      <color rgb="FF000000"/>
      <name val="Cordia New"/>
      <family val="2"/>
    </font>
    <font>
      <sz val="20"/>
      <color rgb="FF000000"/>
      <name val="Cordia New"/>
      <family val="2"/>
    </font>
    <font>
      <b/>
      <sz val="20"/>
      <color theme="1"/>
      <name val="Cordia New"/>
      <family val="2"/>
    </font>
    <font>
      <sz val="24"/>
      <color theme="1"/>
      <name val="Cordia New"/>
      <family val="2"/>
    </font>
    <font>
      <sz val="11"/>
      <color theme="1"/>
      <name val="Calibri"/>
      <family val="2"/>
    </font>
    <font>
      <sz val="20"/>
      <color theme="1"/>
      <name val="TH SarabunPSK"/>
      <family val="2"/>
      <charset val="222"/>
    </font>
    <font>
      <b/>
      <sz val="18"/>
      <color rgb="FF000000"/>
      <name val="Cordia New"/>
      <family val="2"/>
    </font>
    <font>
      <sz val="18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 wrapText="1"/>
    </xf>
    <xf numFmtId="0" fontId="4" fillId="0" borderId="0" xfId="0" applyFont="1"/>
    <xf numFmtId="0" fontId="3" fillId="0" borderId="6" xfId="0" applyFont="1" applyBorder="1" applyAlignment="1">
      <alignment horizontal="justify" vertical="center" wrapText="1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2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7" fillId="0" borderId="0" xfId="0" applyFont="1"/>
    <xf numFmtId="0" fontId="3" fillId="2" borderId="11" xfId="0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justify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justify" vertical="center"/>
    </xf>
    <xf numFmtId="0" fontId="1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1" fillId="0" borderId="6" xfId="0" applyFont="1" applyBorder="1"/>
    <xf numFmtId="0" fontId="3" fillId="2" borderId="1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justify" vertical="center" wrapText="1"/>
    </xf>
    <xf numFmtId="0" fontId="3" fillId="2" borderId="20" xfId="0" applyFont="1" applyFill="1" applyBorder="1" applyAlignment="1">
      <alignment horizontal="justify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justify" vertical="center" wrapText="1"/>
    </xf>
    <xf numFmtId="0" fontId="3" fillId="2" borderId="15" xfId="0" applyFont="1" applyFill="1" applyBorder="1" applyAlignment="1">
      <alignment horizontal="justify" vertical="center" wrapText="1"/>
    </xf>
    <xf numFmtId="0" fontId="3" fillId="2" borderId="16" xfId="0" applyFont="1" applyFill="1" applyBorder="1" applyAlignment="1">
      <alignment horizontal="justify" vertical="center" wrapText="1"/>
    </xf>
    <xf numFmtId="0" fontId="3" fillId="2" borderId="10" xfId="0" applyFont="1" applyFill="1" applyBorder="1" applyAlignment="1">
      <alignment horizontal="justify" vertical="center" wrapText="1"/>
    </xf>
    <xf numFmtId="0" fontId="1" fillId="2" borderId="10" xfId="0" applyFont="1" applyFill="1" applyBorder="1" applyAlignment="1">
      <alignment horizontal="center"/>
    </xf>
    <xf numFmtId="0" fontId="1" fillId="2" borderId="0" xfId="0" applyFont="1" applyFill="1" applyBorder="1"/>
    <xf numFmtId="0" fontId="1" fillId="2" borderId="0" xfId="0" applyFont="1" applyFill="1" applyBorder="1" applyAlignment="1"/>
    <xf numFmtId="0" fontId="1" fillId="0" borderId="19" xfId="0" applyFont="1" applyBorder="1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</a:t>
            </a:r>
            <a:r>
              <a:rPr lang="en-US" baseline="0"/>
              <a:t> Burn Down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SprintBacklog!$F$57:$L$57</c:f>
              <c:numCache>
                <c:formatCode>General</c:formatCode>
                <c:ptCount val="7"/>
                <c:pt idx="0">
                  <c:v>107</c:v>
                </c:pt>
                <c:pt idx="1">
                  <c:v>89</c:v>
                </c:pt>
                <c:pt idx="2">
                  <c:v>38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66-4181-A160-A8988C042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406256"/>
        <c:axId val="1711414416"/>
      </c:lineChart>
      <c:catAx>
        <c:axId val="1711406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  <a:r>
                  <a:rPr lang="en-US" baseline="0"/>
                  <a:t> within a Sprint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14416"/>
        <c:crosses val="autoZero"/>
        <c:auto val="1"/>
        <c:lblAlgn val="ctr"/>
        <c:lblOffset val="100"/>
        <c:noMultiLvlLbl val="0"/>
      </c:catAx>
      <c:valAx>
        <c:axId val="171141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effort-hours remaning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0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6970</xdr:colOff>
      <xdr:row>58</xdr:row>
      <xdr:rowOff>17814</xdr:rowOff>
    </xdr:from>
    <xdr:to>
      <xdr:col>3</xdr:col>
      <xdr:colOff>4021667</xdr:colOff>
      <xdr:row>73</xdr:row>
      <xdr:rowOff>30238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1E5DE9-EE11-EC71-CBF8-504CA409C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96CC-A143-4128-B829-B54D05A600A2}">
  <dimension ref="A1:AB84"/>
  <sheetViews>
    <sheetView tabSelected="1" topLeftCell="A59" zoomScale="42" zoomScaleNormal="41" workbookViewId="0">
      <selection activeCell="I4" sqref="I4"/>
    </sheetView>
  </sheetViews>
  <sheetFormatPr defaultColWidth="8.6328125" defaultRowHeight="30.5" x14ac:dyDescent="1.05"/>
  <cols>
    <col min="1" max="1" width="11.36328125" style="1" customWidth="1"/>
    <col min="2" max="2" width="39.1796875" style="1" customWidth="1"/>
    <col min="3" max="4" width="57.81640625" style="1" customWidth="1"/>
    <col min="5" max="5" width="19.1796875" style="1" customWidth="1"/>
    <col min="6" max="6" width="12.81640625" style="1" customWidth="1"/>
    <col min="7" max="7" width="7.453125" style="1" customWidth="1"/>
    <col min="8" max="8" width="8" style="1" customWidth="1"/>
    <col min="9" max="9" width="7.453125" style="1" customWidth="1"/>
    <col min="10" max="10" width="8.1796875" style="1" customWidth="1"/>
    <col min="11" max="11" width="7.6328125" style="1" customWidth="1"/>
    <col min="12" max="12" width="7.453125" style="1" customWidth="1"/>
    <col min="13" max="13" width="8.36328125" style="1" hidden="1" customWidth="1"/>
    <col min="14" max="14" width="7.36328125" style="1" hidden="1" customWidth="1"/>
    <col min="15" max="15" width="0.1796875" style="1" hidden="1" customWidth="1"/>
    <col min="16" max="16" width="0.1796875" style="1" customWidth="1"/>
    <col min="17" max="18" width="8.6328125" style="1"/>
    <col min="19" max="19" width="15.6328125" style="1" customWidth="1"/>
    <col min="20" max="20" width="25.6328125" style="1" customWidth="1"/>
    <col min="21" max="21" width="8.6328125" style="1"/>
    <col min="22" max="22" width="11.453125" style="1" customWidth="1"/>
    <col min="23" max="16384" width="8.6328125" style="1"/>
  </cols>
  <sheetData>
    <row r="1" spans="1:22" ht="36" x14ac:dyDescent="1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3"/>
      <c r="O1" s="3"/>
      <c r="P1" s="3"/>
      <c r="Q1" s="3"/>
      <c r="R1" s="3"/>
      <c r="T1" s="5"/>
      <c r="U1" s="5"/>
      <c r="V1" s="5"/>
    </row>
    <row r="2" spans="1:22" ht="36" x14ac:dyDescent="1.2">
      <c r="T2" s="5"/>
      <c r="U2" s="5"/>
      <c r="V2" s="5"/>
    </row>
    <row r="3" spans="1:22" ht="36" x14ac:dyDescent="1.2">
      <c r="B3" s="16" t="s">
        <v>55</v>
      </c>
      <c r="T3" s="5"/>
      <c r="U3" s="5"/>
      <c r="V3" s="5"/>
    </row>
    <row r="4" spans="1:22" ht="36" x14ac:dyDescent="1.2">
      <c r="B4" s="54" t="s">
        <v>49</v>
      </c>
      <c r="C4" s="54" t="s">
        <v>42</v>
      </c>
      <c r="T4" s="5"/>
      <c r="U4" s="5"/>
      <c r="V4" s="5"/>
    </row>
    <row r="5" spans="1:22" ht="36" x14ac:dyDescent="1.2">
      <c r="B5" s="54" t="s">
        <v>50</v>
      </c>
      <c r="C5" s="54" t="s">
        <v>41</v>
      </c>
      <c r="T5" s="5"/>
      <c r="U5" s="5"/>
      <c r="V5" s="5"/>
    </row>
    <row r="6" spans="1:22" ht="36" x14ac:dyDescent="1.2">
      <c r="B6" s="54" t="s">
        <v>51</v>
      </c>
      <c r="C6" s="54" t="s">
        <v>43</v>
      </c>
      <c r="T6" s="5"/>
      <c r="U6" s="5"/>
      <c r="V6" s="5"/>
    </row>
    <row r="7" spans="1:22" ht="36" x14ac:dyDescent="1.2">
      <c r="B7" s="54" t="s">
        <v>52</v>
      </c>
      <c r="C7" s="54" t="s">
        <v>44</v>
      </c>
      <c r="T7" s="5"/>
      <c r="U7" s="5"/>
      <c r="V7" s="5"/>
    </row>
    <row r="8" spans="1:22" ht="36" x14ac:dyDescent="1.2">
      <c r="B8" s="54" t="s">
        <v>53</v>
      </c>
      <c r="C8" s="54" t="s">
        <v>40</v>
      </c>
      <c r="T8" s="5"/>
      <c r="U8" s="5"/>
      <c r="V8" s="5"/>
    </row>
    <row r="9" spans="1:22" ht="36" x14ac:dyDescent="1.2">
      <c r="B9" s="54" t="s">
        <v>54</v>
      </c>
      <c r="C9" s="54" t="s">
        <v>48</v>
      </c>
      <c r="T9" s="5"/>
      <c r="U9" s="5"/>
      <c r="V9" s="5"/>
    </row>
    <row r="10" spans="1:22" ht="36" x14ac:dyDescent="1.2">
      <c r="T10" s="5"/>
      <c r="U10" s="5"/>
      <c r="V10" s="5"/>
    </row>
    <row r="11" spans="1:22" x14ac:dyDescent="1.05">
      <c r="A11" s="11" t="s">
        <v>1</v>
      </c>
      <c r="B11" s="11" t="s">
        <v>2</v>
      </c>
      <c r="C11" s="11" t="s">
        <v>3</v>
      </c>
      <c r="D11" s="11" t="s">
        <v>6</v>
      </c>
      <c r="E11" s="14" t="s">
        <v>4</v>
      </c>
      <c r="F11" s="51" t="s">
        <v>5</v>
      </c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15"/>
      <c r="R11" s="15"/>
    </row>
    <row r="12" spans="1:22" x14ac:dyDescent="1.05">
      <c r="A12" s="12"/>
      <c r="B12" s="12"/>
      <c r="C12" s="13"/>
      <c r="D12" s="13"/>
      <c r="E12" s="13"/>
      <c r="F12" s="2">
        <v>1</v>
      </c>
      <c r="G12" s="2">
        <v>2</v>
      </c>
      <c r="H12" s="2">
        <v>3</v>
      </c>
      <c r="I12" s="2">
        <v>4</v>
      </c>
      <c r="J12" s="2">
        <v>5</v>
      </c>
      <c r="K12" s="8">
        <v>6</v>
      </c>
      <c r="L12" s="36">
        <v>7</v>
      </c>
      <c r="M12" s="35"/>
      <c r="N12" s="35"/>
    </row>
    <row r="13" spans="1:22" ht="34" customHeight="1" x14ac:dyDescent="1.05">
      <c r="A13" s="31">
        <v>1</v>
      </c>
      <c r="B13" s="31" t="s">
        <v>7</v>
      </c>
      <c r="C13" s="17" t="s">
        <v>8</v>
      </c>
      <c r="D13" s="17" t="s">
        <v>40</v>
      </c>
      <c r="E13" s="18">
        <v>1</v>
      </c>
      <c r="F13" s="18">
        <v>1</v>
      </c>
      <c r="G13" s="18">
        <v>0</v>
      </c>
      <c r="H13" s="18">
        <v>0</v>
      </c>
      <c r="I13" s="18">
        <v>0</v>
      </c>
      <c r="J13" s="18">
        <v>0</v>
      </c>
      <c r="K13" s="19">
        <v>0</v>
      </c>
      <c r="L13" s="20">
        <v>0</v>
      </c>
      <c r="M13" s="35"/>
      <c r="N13" s="35"/>
    </row>
    <row r="14" spans="1:22" x14ac:dyDescent="1.05">
      <c r="A14" s="32"/>
      <c r="B14" s="32"/>
      <c r="C14" s="17" t="s">
        <v>9</v>
      </c>
      <c r="D14" s="17" t="s">
        <v>41</v>
      </c>
      <c r="E14" s="18">
        <v>1</v>
      </c>
      <c r="F14" s="18">
        <v>1</v>
      </c>
      <c r="G14" s="18">
        <v>0</v>
      </c>
      <c r="H14" s="18">
        <v>0</v>
      </c>
      <c r="I14" s="18">
        <v>0</v>
      </c>
      <c r="J14" s="18">
        <v>0</v>
      </c>
      <c r="K14" s="19">
        <v>0</v>
      </c>
      <c r="L14" s="20">
        <v>0</v>
      </c>
      <c r="M14" s="35"/>
      <c r="N14" s="35"/>
    </row>
    <row r="15" spans="1:22" ht="31" customHeight="1" x14ac:dyDescent="1.05">
      <c r="A15" s="32"/>
      <c r="B15" s="32"/>
      <c r="C15" s="21" t="s">
        <v>10</v>
      </c>
      <c r="D15" s="21" t="s">
        <v>41</v>
      </c>
      <c r="E15" s="22">
        <v>1</v>
      </c>
      <c r="F15" s="22">
        <v>1</v>
      </c>
      <c r="G15" s="22">
        <v>0</v>
      </c>
      <c r="H15" s="22">
        <v>0</v>
      </c>
      <c r="I15" s="22">
        <v>0</v>
      </c>
      <c r="J15" s="22">
        <v>0</v>
      </c>
      <c r="K15" s="23">
        <v>0</v>
      </c>
      <c r="L15" s="20">
        <v>0</v>
      </c>
      <c r="M15" s="35"/>
      <c r="N15" s="35"/>
    </row>
    <row r="16" spans="1:22" x14ac:dyDescent="1.05">
      <c r="A16" s="32"/>
      <c r="B16" s="32"/>
      <c r="C16" s="24" t="s">
        <v>11</v>
      </c>
      <c r="D16" s="24" t="s">
        <v>41</v>
      </c>
      <c r="E16" s="20">
        <v>4</v>
      </c>
      <c r="F16" s="20">
        <v>4</v>
      </c>
      <c r="G16" s="20">
        <v>4</v>
      </c>
      <c r="H16" s="20">
        <v>0</v>
      </c>
      <c r="I16" s="20">
        <v>0</v>
      </c>
      <c r="J16" s="20">
        <v>0</v>
      </c>
      <c r="K16" s="25">
        <v>0</v>
      </c>
      <c r="L16" s="20">
        <v>0</v>
      </c>
      <c r="M16" s="35"/>
      <c r="N16" s="35"/>
    </row>
    <row r="17" spans="1:14" x14ac:dyDescent="1.05">
      <c r="A17" s="32"/>
      <c r="B17" s="32"/>
      <c r="C17" s="24" t="s">
        <v>12</v>
      </c>
      <c r="D17" s="24" t="s">
        <v>42</v>
      </c>
      <c r="E17" s="20">
        <v>1</v>
      </c>
      <c r="F17" s="20">
        <v>1</v>
      </c>
      <c r="G17" s="20">
        <v>0</v>
      </c>
      <c r="H17" s="20">
        <v>0</v>
      </c>
      <c r="I17" s="20">
        <v>0</v>
      </c>
      <c r="J17" s="20">
        <v>0</v>
      </c>
      <c r="K17" s="25">
        <v>0</v>
      </c>
      <c r="L17" s="20">
        <v>0</v>
      </c>
      <c r="M17" s="35"/>
      <c r="N17" s="35"/>
    </row>
    <row r="18" spans="1:14" x14ac:dyDescent="1.05">
      <c r="A18" s="32"/>
      <c r="B18" s="32"/>
      <c r="C18" s="24" t="s">
        <v>13</v>
      </c>
      <c r="D18" s="24" t="s">
        <v>43</v>
      </c>
      <c r="E18" s="20">
        <v>2</v>
      </c>
      <c r="F18" s="20">
        <v>2</v>
      </c>
      <c r="G18" s="20">
        <v>0</v>
      </c>
      <c r="H18" s="20">
        <v>0</v>
      </c>
      <c r="I18" s="20">
        <v>0</v>
      </c>
      <c r="J18" s="20">
        <v>0</v>
      </c>
      <c r="K18" s="25">
        <v>0</v>
      </c>
      <c r="L18" s="20">
        <v>0</v>
      </c>
      <c r="M18" s="15"/>
      <c r="N18" s="15"/>
    </row>
    <row r="19" spans="1:14" x14ac:dyDescent="1.05">
      <c r="A19" s="32"/>
      <c r="B19" s="32"/>
      <c r="C19" s="30" t="s">
        <v>14</v>
      </c>
      <c r="D19" s="24" t="s">
        <v>43</v>
      </c>
      <c r="E19" s="20">
        <v>2</v>
      </c>
      <c r="F19" s="20">
        <v>2</v>
      </c>
      <c r="G19" s="20">
        <v>2</v>
      </c>
      <c r="H19" s="20">
        <v>0</v>
      </c>
      <c r="I19" s="20">
        <v>0</v>
      </c>
      <c r="J19" s="20">
        <v>0</v>
      </c>
      <c r="K19" s="25">
        <v>0</v>
      </c>
      <c r="L19" s="20">
        <v>0</v>
      </c>
      <c r="M19" s="15"/>
      <c r="N19" s="15"/>
    </row>
    <row r="20" spans="1:14" x14ac:dyDescent="1.05">
      <c r="A20" s="32"/>
      <c r="B20" s="32"/>
      <c r="C20" s="30" t="s">
        <v>15</v>
      </c>
      <c r="D20" s="24" t="s">
        <v>44</v>
      </c>
      <c r="E20" s="20">
        <v>3</v>
      </c>
      <c r="F20" s="20">
        <v>3</v>
      </c>
      <c r="G20" s="20">
        <v>3</v>
      </c>
      <c r="H20" s="20">
        <v>3</v>
      </c>
      <c r="I20" s="20">
        <v>0</v>
      </c>
      <c r="J20" s="20">
        <v>0</v>
      </c>
      <c r="K20" s="25">
        <v>0</v>
      </c>
      <c r="L20" s="20">
        <v>0</v>
      </c>
      <c r="M20" s="15"/>
      <c r="N20" s="15"/>
    </row>
    <row r="21" spans="1:14" x14ac:dyDescent="1.05">
      <c r="A21" s="32"/>
      <c r="B21" s="32"/>
      <c r="C21" s="30" t="s">
        <v>16</v>
      </c>
      <c r="D21" s="24" t="s">
        <v>45</v>
      </c>
      <c r="E21" s="20">
        <v>2</v>
      </c>
      <c r="F21" s="20">
        <v>2</v>
      </c>
      <c r="G21" s="20">
        <v>2</v>
      </c>
      <c r="H21" s="20">
        <v>0</v>
      </c>
      <c r="I21" s="20">
        <v>0</v>
      </c>
      <c r="J21" s="20">
        <v>0</v>
      </c>
      <c r="K21" s="25">
        <v>0</v>
      </c>
      <c r="L21" s="20">
        <v>0</v>
      </c>
      <c r="M21" s="15"/>
      <c r="N21" s="15"/>
    </row>
    <row r="22" spans="1:14" x14ac:dyDescent="1.05">
      <c r="A22" s="32"/>
      <c r="B22" s="32"/>
      <c r="C22" s="30" t="s">
        <v>17</v>
      </c>
      <c r="D22" s="24" t="s">
        <v>45</v>
      </c>
      <c r="E22" s="20">
        <v>2</v>
      </c>
      <c r="F22" s="20">
        <v>2</v>
      </c>
      <c r="G22" s="20">
        <v>2</v>
      </c>
      <c r="H22" s="20">
        <v>0</v>
      </c>
      <c r="I22" s="20">
        <v>0</v>
      </c>
      <c r="J22" s="20">
        <v>0</v>
      </c>
      <c r="K22" s="25">
        <v>0</v>
      </c>
      <c r="L22" s="20">
        <v>0</v>
      </c>
      <c r="M22" s="15"/>
      <c r="N22" s="15"/>
    </row>
    <row r="23" spans="1:14" x14ac:dyDescent="1.05">
      <c r="A23" s="32"/>
      <c r="B23" s="32"/>
      <c r="C23" s="30" t="s">
        <v>18</v>
      </c>
      <c r="D23" s="24" t="s">
        <v>44</v>
      </c>
      <c r="E23" s="20">
        <v>3</v>
      </c>
      <c r="F23" s="20">
        <v>3</v>
      </c>
      <c r="G23" s="20">
        <v>3</v>
      </c>
      <c r="H23" s="20">
        <v>0</v>
      </c>
      <c r="I23" s="20">
        <v>0</v>
      </c>
      <c r="J23" s="20">
        <v>0</v>
      </c>
      <c r="K23" s="25">
        <v>0</v>
      </c>
      <c r="L23" s="20">
        <v>0</v>
      </c>
      <c r="M23" s="15"/>
      <c r="N23" s="15"/>
    </row>
    <row r="24" spans="1:14" x14ac:dyDescent="1.05">
      <c r="A24" s="32"/>
      <c r="B24" s="32"/>
      <c r="C24" s="30" t="s">
        <v>22</v>
      </c>
      <c r="D24" s="24" t="s">
        <v>45</v>
      </c>
      <c r="E24" s="20">
        <v>6</v>
      </c>
      <c r="F24" s="20">
        <v>6</v>
      </c>
      <c r="G24" s="20">
        <v>6</v>
      </c>
      <c r="H24" s="20">
        <v>6</v>
      </c>
      <c r="I24" s="20">
        <v>6</v>
      </c>
      <c r="J24" s="20">
        <v>6</v>
      </c>
      <c r="K24" s="25">
        <v>6</v>
      </c>
      <c r="L24" s="20">
        <v>0</v>
      </c>
      <c r="M24" s="15"/>
      <c r="N24" s="15"/>
    </row>
    <row r="25" spans="1:14" x14ac:dyDescent="1.05">
      <c r="A25" s="32"/>
      <c r="B25" s="32"/>
      <c r="C25" s="30" t="s">
        <v>21</v>
      </c>
      <c r="D25" s="24" t="s">
        <v>40</v>
      </c>
      <c r="E25" s="20">
        <v>1</v>
      </c>
      <c r="F25" s="20">
        <v>1</v>
      </c>
      <c r="G25" s="20">
        <v>0</v>
      </c>
      <c r="H25" s="20">
        <v>0</v>
      </c>
      <c r="I25" s="20">
        <v>0</v>
      </c>
      <c r="J25" s="20">
        <v>0</v>
      </c>
      <c r="K25" s="25">
        <v>0</v>
      </c>
      <c r="L25" s="20">
        <v>0</v>
      </c>
      <c r="M25" s="15"/>
      <c r="N25" s="15"/>
    </row>
    <row r="26" spans="1:14" x14ac:dyDescent="1.05">
      <c r="A26" s="32"/>
      <c r="B26" s="32"/>
      <c r="C26" s="30" t="s">
        <v>20</v>
      </c>
      <c r="D26" s="24" t="s">
        <v>40</v>
      </c>
      <c r="E26" s="20">
        <v>2</v>
      </c>
      <c r="F26" s="20">
        <v>2</v>
      </c>
      <c r="G26" s="20">
        <v>2</v>
      </c>
      <c r="H26" s="20">
        <v>0</v>
      </c>
      <c r="I26" s="20">
        <v>0</v>
      </c>
      <c r="J26" s="20">
        <v>0</v>
      </c>
      <c r="K26" s="25">
        <v>0</v>
      </c>
      <c r="L26" s="20">
        <v>0</v>
      </c>
      <c r="M26" s="15"/>
      <c r="N26" s="15"/>
    </row>
    <row r="27" spans="1:14" x14ac:dyDescent="1.05">
      <c r="A27" s="32"/>
      <c r="B27" s="32"/>
      <c r="C27" s="30" t="s">
        <v>19</v>
      </c>
      <c r="D27" s="24" t="s">
        <v>41</v>
      </c>
      <c r="E27" s="20">
        <v>2</v>
      </c>
      <c r="F27" s="20">
        <v>2</v>
      </c>
      <c r="G27" s="20">
        <v>2</v>
      </c>
      <c r="H27" s="20">
        <v>2</v>
      </c>
      <c r="I27" s="20">
        <v>2</v>
      </c>
      <c r="J27" s="20">
        <v>2</v>
      </c>
      <c r="K27" s="25">
        <v>2</v>
      </c>
      <c r="L27" s="20">
        <v>0</v>
      </c>
      <c r="M27" s="15"/>
      <c r="N27" s="15"/>
    </row>
    <row r="28" spans="1:14" ht="58" customHeight="1" x14ac:dyDescent="1.05">
      <c r="A28" s="32"/>
      <c r="B28" s="31" t="s">
        <v>23</v>
      </c>
      <c r="C28" s="27" t="s">
        <v>24</v>
      </c>
      <c r="D28" s="27" t="s">
        <v>41</v>
      </c>
      <c r="E28" s="20">
        <v>1</v>
      </c>
      <c r="F28" s="20">
        <v>1</v>
      </c>
      <c r="G28" s="20">
        <v>1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35"/>
      <c r="N28" s="35"/>
    </row>
    <row r="29" spans="1:14" ht="34" customHeight="1" x14ac:dyDescent="1.05">
      <c r="A29" s="32"/>
      <c r="B29" s="32"/>
      <c r="C29" s="24" t="s">
        <v>25</v>
      </c>
      <c r="D29" s="24" t="s">
        <v>41</v>
      </c>
      <c r="E29" s="20">
        <v>1</v>
      </c>
      <c r="F29" s="20">
        <v>1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35"/>
      <c r="N29" s="35"/>
    </row>
    <row r="30" spans="1:14" ht="27" customHeight="1" x14ac:dyDescent="1.05">
      <c r="A30" s="32"/>
      <c r="B30" s="32"/>
      <c r="C30" s="24" t="s">
        <v>26</v>
      </c>
      <c r="D30" s="24" t="s">
        <v>46</v>
      </c>
      <c r="E30" s="20">
        <v>3</v>
      </c>
      <c r="F30" s="20">
        <v>3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35"/>
      <c r="N30" s="35"/>
    </row>
    <row r="31" spans="1:14" ht="57" customHeight="1" x14ac:dyDescent="1.05">
      <c r="A31" s="32"/>
      <c r="B31" s="32"/>
      <c r="C31" s="24" t="s">
        <v>27</v>
      </c>
      <c r="D31" s="24" t="s">
        <v>46</v>
      </c>
      <c r="E31" s="20">
        <v>3</v>
      </c>
      <c r="F31" s="20">
        <v>3</v>
      </c>
      <c r="G31" s="20">
        <v>3</v>
      </c>
      <c r="H31" s="20">
        <v>3</v>
      </c>
      <c r="I31" s="20">
        <v>0</v>
      </c>
      <c r="J31" s="20">
        <v>0</v>
      </c>
      <c r="K31" s="20">
        <v>0</v>
      </c>
      <c r="L31" s="20">
        <v>0</v>
      </c>
      <c r="M31" s="35"/>
      <c r="N31" s="35"/>
    </row>
    <row r="32" spans="1:14" ht="57" customHeight="1" x14ac:dyDescent="1.05">
      <c r="A32" s="32"/>
      <c r="B32" s="32"/>
      <c r="C32" s="24" t="s">
        <v>37</v>
      </c>
      <c r="D32" s="24" t="s">
        <v>42</v>
      </c>
      <c r="E32" s="20">
        <v>1</v>
      </c>
      <c r="F32" s="20">
        <v>1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35"/>
      <c r="N32" s="35"/>
    </row>
    <row r="33" spans="1:14" ht="50" customHeight="1" x14ac:dyDescent="1.05">
      <c r="A33" s="32"/>
      <c r="B33" s="32"/>
      <c r="C33" s="24" t="s">
        <v>28</v>
      </c>
      <c r="D33" s="24" t="s">
        <v>42</v>
      </c>
      <c r="E33" s="20">
        <v>3</v>
      </c>
      <c r="F33" s="20">
        <v>3</v>
      </c>
      <c r="G33" s="20">
        <v>3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35"/>
      <c r="N33" s="35"/>
    </row>
    <row r="34" spans="1:14" ht="38" customHeight="1" x14ac:dyDescent="1.05">
      <c r="A34" s="32"/>
      <c r="B34" s="32"/>
      <c r="C34" s="24" t="s">
        <v>29</v>
      </c>
      <c r="D34" s="24" t="s">
        <v>42</v>
      </c>
      <c r="E34" s="20">
        <v>3</v>
      </c>
      <c r="F34" s="28">
        <v>3</v>
      </c>
      <c r="G34" s="20">
        <v>3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35"/>
      <c r="N34" s="35"/>
    </row>
    <row r="35" spans="1:14" ht="54" customHeight="1" x14ac:dyDescent="1.05">
      <c r="A35" s="32"/>
      <c r="B35" s="32"/>
      <c r="C35" s="29" t="s">
        <v>30</v>
      </c>
      <c r="D35" s="29" t="s">
        <v>43</v>
      </c>
      <c r="E35" s="20">
        <v>1</v>
      </c>
      <c r="F35" s="20">
        <v>1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35"/>
      <c r="N35" s="35"/>
    </row>
    <row r="36" spans="1:14" ht="52" customHeight="1" x14ac:dyDescent="1.05">
      <c r="A36" s="32"/>
      <c r="B36" s="32"/>
      <c r="C36" s="29" t="s">
        <v>31</v>
      </c>
      <c r="D36" s="29" t="s">
        <v>43</v>
      </c>
      <c r="E36" s="20">
        <v>2</v>
      </c>
      <c r="F36" s="20">
        <v>2</v>
      </c>
      <c r="G36" s="20">
        <v>2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35"/>
      <c r="N36" s="35"/>
    </row>
    <row r="37" spans="1:14" ht="27" customHeight="1" x14ac:dyDescent="1.05">
      <c r="A37" s="32"/>
      <c r="B37" s="32"/>
      <c r="C37" s="24" t="s">
        <v>32</v>
      </c>
      <c r="D37" s="24" t="s">
        <v>46</v>
      </c>
      <c r="E37" s="20">
        <v>3</v>
      </c>
      <c r="F37" s="20">
        <v>3</v>
      </c>
      <c r="G37" s="20">
        <v>3</v>
      </c>
      <c r="H37" s="20">
        <v>3</v>
      </c>
      <c r="I37" s="20">
        <v>0</v>
      </c>
      <c r="J37" s="20">
        <v>0</v>
      </c>
      <c r="K37" s="20">
        <v>0</v>
      </c>
      <c r="L37" s="20">
        <v>0</v>
      </c>
      <c r="M37" s="35"/>
      <c r="N37" s="35"/>
    </row>
    <row r="38" spans="1:14" ht="27" customHeight="1" x14ac:dyDescent="1.05">
      <c r="A38" s="32"/>
      <c r="B38" s="32"/>
      <c r="C38" s="24" t="s">
        <v>16</v>
      </c>
      <c r="D38" s="24" t="s">
        <v>45</v>
      </c>
      <c r="E38" s="20">
        <v>2</v>
      </c>
      <c r="F38" s="20">
        <v>2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35"/>
      <c r="N38" s="35"/>
    </row>
    <row r="39" spans="1:14" ht="27" customHeight="1" x14ac:dyDescent="1.05">
      <c r="A39" s="32"/>
      <c r="B39" s="32"/>
      <c r="C39" s="29" t="s">
        <v>17</v>
      </c>
      <c r="D39" s="29" t="s">
        <v>45</v>
      </c>
      <c r="E39" s="20">
        <v>2</v>
      </c>
      <c r="F39" s="20">
        <v>2</v>
      </c>
      <c r="G39" s="20">
        <v>2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35"/>
      <c r="N39" s="35"/>
    </row>
    <row r="40" spans="1:14" ht="27" customHeight="1" x14ac:dyDescent="1.05">
      <c r="A40" s="32"/>
      <c r="B40" s="32"/>
      <c r="C40" s="29" t="s">
        <v>18</v>
      </c>
      <c r="D40" s="29" t="s">
        <v>44</v>
      </c>
      <c r="E40" s="20">
        <v>3</v>
      </c>
      <c r="F40" s="20">
        <v>3</v>
      </c>
      <c r="G40" s="20">
        <v>3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37"/>
      <c r="N40" s="35"/>
    </row>
    <row r="41" spans="1:14" ht="27" customHeight="1" x14ac:dyDescent="1.05">
      <c r="A41" s="32"/>
      <c r="B41" s="32"/>
      <c r="C41" s="30" t="s">
        <v>33</v>
      </c>
      <c r="D41" s="29" t="s">
        <v>45</v>
      </c>
      <c r="E41" s="34">
        <v>8</v>
      </c>
      <c r="F41" s="34">
        <v>8</v>
      </c>
      <c r="G41" s="34">
        <v>8</v>
      </c>
      <c r="H41" s="34">
        <v>8</v>
      </c>
      <c r="I41" s="34">
        <v>8</v>
      </c>
      <c r="J41" s="34">
        <v>8</v>
      </c>
      <c r="K41" s="34">
        <v>8</v>
      </c>
      <c r="L41" s="34">
        <v>0</v>
      </c>
      <c r="M41" s="37"/>
      <c r="N41" s="35"/>
    </row>
    <row r="42" spans="1:14" ht="27" customHeight="1" x14ac:dyDescent="1.05">
      <c r="A42" s="32"/>
      <c r="B42" s="32"/>
      <c r="C42" s="30" t="s">
        <v>34</v>
      </c>
      <c r="D42" s="29" t="s">
        <v>43</v>
      </c>
      <c r="E42" s="34">
        <v>1</v>
      </c>
      <c r="F42" s="34">
        <v>1</v>
      </c>
      <c r="G42" s="34">
        <v>1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7"/>
      <c r="N42" s="35"/>
    </row>
    <row r="43" spans="1:14" ht="27" customHeight="1" x14ac:dyDescent="1.05">
      <c r="A43" s="32"/>
      <c r="B43" s="32"/>
      <c r="C43" s="30" t="s">
        <v>20</v>
      </c>
      <c r="D43" s="29" t="s">
        <v>43</v>
      </c>
      <c r="E43" s="34">
        <v>2</v>
      </c>
      <c r="F43" s="34">
        <v>2</v>
      </c>
      <c r="G43" s="34">
        <v>2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7"/>
      <c r="N43" s="35"/>
    </row>
    <row r="44" spans="1:14" ht="27" customHeight="1" x14ac:dyDescent="1.05">
      <c r="A44" s="32"/>
      <c r="B44" s="33"/>
      <c r="C44" s="30" t="s">
        <v>35</v>
      </c>
      <c r="D44" s="29" t="s">
        <v>41</v>
      </c>
      <c r="E44" s="34">
        <v>2</v>
      </c>
      <c r="F44" s="34">
        <v>2</v>
      </c>
      <c r="G44" s="34">
        <v>2</v>
      </c>
      <c r="H44" s="34">
        <v>2</v>
      </c>
      <c r="I44" s="34">
        <v>2</v>
      </c>
      <c r="J44" s="34">
        <v>2</v>
      </c>
      <c r="K44" s="34">
        <v>2</v>
      </c>
      <c r="L44" s="34">
        <v>0</v>
      </c>
      <c r="M44" s="37"/>
      <c r="N44" s="35"/>
    </row>
    <row r="45" spans="1:14" ht="36" customHeight="1" x14ac:dyDescent="1.05">
      <c r="A45" s="32"/>
      <c r="B45" s="31" t="s">
        <v>36</v>
      </c>
      <c r="C45" s="40" t="s">
        <v>38</v>
      </c>
      <c r="D45" s="41" t="s">
        <v>41</v>
      </c>
      <c r="E45" s="39">
        <v>3</v>
      </c>
      <c r="F45" s="39">
        <v>3</v>
      </c>
      <c r="G45" s="39">
        <v>3</v>
      </c>
      <c r="H45" s="39">
        <v>0</v>
      </c>
      <c r="I45" s="39">
        <v>0</v>
      </c>
      <c r="J45" s="39">
        <v>0</v>
      </c>
      <c r="K45" s="42">
        <v>0</v>
      </c>
      <c r="L45" s="20">
        <v>0</v>
      </c>
      <c r="M45" s="37"/>
      <c r="N45" s="35"/>
    </row>
    <row r="46" spans="1:14" ht="43" customHeight="1" x14ac:dyDescent="1.05">
      <c r="A46" s="32"/>
      <c r="B46" s="32"/>
      <c r="C46" s="43" t="s">
        <v>39</v>
      </c>
      <c r="D46" s="41" t="s">
        <v>41</v>
      </c>
      <c r="E46" s="18">
        <v>3</v>
      </c>
      <c r="F46" s="18">
        <v>3</v>
      </c>
      <c r="G46" s="18">
        <v>3</v>
      </c>
      <c r="H46" s="18">
        <v>0</v>
      </c>
      <c r="I46" s="18">
        <v>0</v>
      </c>
      <c r="J46" s="18">
        <v>0</v>
      </c>
      <c r="K46" s="19">
        <v>0</v>
      </c>
      <c r="L46" s="20">
        <v>0</v>
      </c>
      <c r="M46" s="37"/>
      <c r="N46" s="35"/>
    </row>
    <row r="47" spans="1:14" ht="30.5" customHeight="1" x14ac:dyDescent="1.05">
      <c r="A47" s="32"/>
      <c r="B47" s="32"/>
      <c r="C47" s="43" t="s">
        <v>30</v>
      </c>
      <c r="D47" s="17" t="s">
        <v>42</v>
      </c>
      <c r="E47" s="18">
        <v>1</v>
      </c>
      <c r="F47" s="18">
        <v>1</v>
      </c>
      <c r="G47" s="18">
        <v>1</v>
      </c>
      <c r="H47" s="18">
        <v>0</v>
      </c>
      <c r="I47" s="18">
        <v>0</v>
      </c>
      <c r="J47" s="18">
        <v>0</v>
      </c>
      <c r="K47" s="19">
        <v>0</v>
      </c>
      <c r="L47" s="20">
        <v>0</v>
      </c>
      <c r="M47" s="37"/>
      <c r="N47" s="35"/>
    </row>
    <row r="48" spans="1:14" x14ac:dyDescent="1.05">
      <c r="A48" s="32"/>
      <c r="B48" s="32"/>
      <c r="C48" s="43" t="s">
        <v>31</v>
      </c>
      <c r="D48" s="30" t="s">
        <v>43</v>
      </c>
      <c r="E48" s="18">
        <v>1</v>
      </c>
      <c r="F48" s="18">
        <v>1</v>
      </c>
      <c r="G48" s="18">
        <v>1</v>
      </c>
      <c r="H48" s="18">
        <v>0</v>
      </c>
      <c r="I48" s="18">
        <v>0</v>
      </c>
      <c r="J48" s="18">
        <v>0</v>
      </c>
      <c r="K48" s="19">
        <v>0</v>
      </c>
      <c r="L48" s="20">
        <v>0</v>
      </c>
      <c r="M48" s="37"/>
      <c r="N48" s="35"/>
    </row>
    <row r="49" spans="1:16" x14ac:dyDescent="1.05">
      <c r="A49" s="32"/>
      <c r="B49" s="32"/>
      <c r="C49" s="44" t="s">
        <v>32</v>
      </c>
      <c r="D49" s="21" t="s">
        <v>47</v>
      </c>
      <c r="E49" s="22">
        <v>3</v>
      </c>
      <c r="F49" s="22">
        <v>3</v>
      </c>
      <c r="G49" s="22">
        <v>3</v>
      </c>
      <c r="H49" s="22">
        <v>3</v>
      </c>
      <c r="I49" s="22">
        <f>--H447</f>
        <v>0</v>
      </c>
      <c r="J49" s="22">
        <v>0</v>
      </c>
      <c r="K49" s="23">
        <v>0</v>
      </c>
      <c r="L49" s="20">
        <v>0</v>
      </c>
      <c r="M49" s="37"/>
      <c r="N49" s="35"/>
    </row>
    <row r="50" spans="1:16" x14ac:dyDescent="1.05">
      <c r="A50" s="32"/>
      <c r="B50" s="32"/>
      <c r="C50" s="45" t="s">
        <v>16</v>
      </c>
      <c r="D50" s="46" t="s">
        <v>45</v>
      </c>
      <c r="E50" s="47">
        <v>4</v>
      </c>
      <c r="F50" s="22">
        <v>4</v>
      </c>
      <c r="G50" s="22">
        <v>4</v>
      </c>
      <c r="H50" s="22">
        <v>0</v>
      </c>
      <c r="I50" s="22">
        <v>0</v>
      </c>
      <c r="J50" s="22">
        <v>0</v>
      </c>
      <c r="K50" s="23">
        <v>0</v>
      </c>
      <c r="L50" s="20">
        <v>0</v>
      </c>
      <c r="M50" s="37"/>
      <c r="N50" s="35"/>
    </row>
    <row r="51" spans="1:16" x14ac:dyDescent="1.05">
      <c r="A51" s="32"/>
      <c r="B51" s="32"/>
      <c r="C51" s="4" t="s">
        <v>17</v>
      </c>
      <c r="D51" s="4" t="s">
        <v>45</v>
      </c>
      <c r="E51" s="26">
        <v>2</v>
      </c>
      <c r="F51" s="20">
        <v>2</v>
      </c>
      <c r="G51" s="20">
        <v>2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50"/>
      <c r="N51" s="9"/>
    </row>
    <row r="52" spans="1:16" x14ac:dyDescent="1.05">
      <c r="A52" s="32"/>
      <c r="B52" s="32"/>
      <c r="C52" s="30" t="s">
        <v>18</v>
      </c>
      <c r="D52" s="30" t="s">
        <v>44</v>
      </c>
      <c r="E52" s="52">
        <v>3</v>
      </c>
      <c r="F52" s="52">
        <v>3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</row>
    <row r="53" spans="1:16" x14ac:dyDescent="1.05">
      <c r="A53" s="32"/>
      <c r="B53" s="32"/>
      <c r="C53" s="30" t="s">
        <v>33</v>
      </c>
      <c r="D53" s="30" t="s">
        <v>44</v>
      </c>
      <c r="E53" s="52">
        <v>8</v>
      </c>
      <c r="F53" s="52">
        <v>8</v>
      </c>
      <c r="G53" s="52">
        <v>8</v>
      </c>
      <c r="H53" s="52">
        <v>8</v>
      </c>
      <c r="I53" s="52">
        <v>8</v>
      </c>
      <c r="J53" s="52">
        <v>8</v>
      </c>
      <c r="K53" s="52">
        <v>8</v>
      </c>
      <c r="L53" s="52">
        <v>0</v>
      </c>
    </row>
    <row r="54" spans="1:16" ht="27" customHeight="1" x14ac:dyDescent="1.05">
      <c r="A54" s="32"/>
      <c r="B54" s="32"/>
      <c r="C54" s="30" t="s">
        <v>21</v>
      </c>
      <c r="D54" s="30" t="s">
        <v>43</v>
      </c>
      <c r="E54" s="52">
        <v>1</v>
      </c>
      <c r="F54" s="52">
        <v>1</v>
      </c>
      <c r="G54" s="52">
        <v>1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</row>
    <row r="55" spans="1:16" x14ac:dyDescent="1.05">
      <c r="A55" s="32"/>
      <c r="B55" s="32"/>
      <c r="C55" s="30" t="s">
        <v>20</v>
      </c>
      <c r="D55" s="30" t="s">
        <v>43</v>
      </c>
      <c r="E55" s="52">
        <v>2</v>
      </c>
      <c r="F55" s="52">
        <v>2</v>
      </c>
      <c r="G55" s="52">
        <v>2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7"/>
    </row>
    <row r="56" spans="1:16" x14ac:dyDescent="1.05">
      <c r="A56" s="33"/>
      <c r="B56" s="33"/>
      <c r="C56" s="30" t="s">
        <v>35</v>
      </c>
      <c r="D56" s="41" t="s">
        <v>41</v>
      </c>
      <c r="E56" s="52">
        <v>2</v>
      </c>
      <c r="F56" s="52">
        <v>2</v>
      </c>
      <c r="G56" s="52">
        <v>2</v>
      </c>
      <c r="H56" s="38">
        <v>0</v>
      </c>
      <c r="I56" s="38">
        <v>0</v>
      </c>
      <c r="J56" s="38">
        <v>0</v>
      </c>
      <c r="K56" s="52">
        <v>0</v>
      </c>
      <c r="L56" s="52">
        <v>0</v>
      </c>
      <c r="M56"/>
    </row>
    <row r="57" spans="1:16" x14ac:dyDescent="1.05">
      <c r="B57" s="7"/>
      <c r="C57" s="7"/>
      <c r="D57" s="7"/>
      <c r="E57" s="53">
        <f>SUM(E13:E56)</f>
        <v>107</v>
      </c>
      <c r="F57" s="1">
        <f>SUM(F13:F56)</f>
        <v>107</v>
      </c>
      <c r="G57" s="1">
        <f>SUM(G13:G56)</f>
        <v>89</v>
      </c>
      <c r="H57" s="1">
        <f>SUM(H13:H56)</f>
        <v>38</v>
      </c>
      <c r="I57" s="1">
        <f>SUM(I13:I56)</f>
        <v>26</v>
      </c>
      <c r="J57" s="1">
        <f>SUM(J13:J56)</f>
        <v>26</v>
      </c>
      <c r="K57" s="1">
        <f>SUM(K13:K56)</f>
        <v>26</v>
      </c>
      <c r="L57" s="1">
        <v>0</v>
      </c>
      <c r="N57" s="48"/>
      <c r="O57" s="49"/>
      <c r="P57" s="49"/>
    </row>
    <row r="58" spans="1:16" x14ac:dyDescent="1.05">
      <c r="B58" s="7"/>
      <c r="C58" s="7"/>
      <c r="D58" s="7"/>
      <c r="E58" s="7"/>
      <c r="N58" s="48"/>
      <c r="O58" s="49"/>
      <c r="P58" s="49"/>
    </row>
    <row r="59" spans="1:16" x14ac:dyDescent="1.05">
      <c r="B59" s="7"/>
      <c r="C59" s="7"/>
      <c r="D59" s="7"/>
      <c r="E59" s="7"/>
      <c r="N59" s="48"/>
      <c r="O59" s="49"/>
      <c r="P59" s="49"/>
    </row>
    <row r="60" spans="1:16" x14ac:dyDescent="1.05">
      <c r="B60" s="7"/>
      <c r="C60" s="7"/>
      <c r="D60" s="7"/>
      <c r="E60" s="7"/>
      <c r="N60" s="48"/>
      <c r="O60" s="49"/>
      <c r="P60" s="49"/>
    </row>
    <row r="61" spans="1:16" x14ac:dyDescent="1.05">
      <c r="B61" s="7"/>
      <c r="C61" s="7"/>
      <c r="D61" s="7"/>
      <c r="E61" s="7"/>
      <c r="I61"/>
    </row>
    <row r="62" spans="1:16" x14ac:dyDescent="1.05">
      <c r="B62" s="7"/>
      <c r="C62" s="7"/>
      <c r="D62" s="7"/>
      <c r="E62" s="7"/>
      <c r="F62" s="7"/>
      <c r="G62" s="7"/>
      <c r="H62" s="7"/>
      <c r="I62"/>
    </row>
    <row r="63" spans="1:16" x14ac:dyDescent="1.05">
      <c r="B63" s="7"/>
      <c r="C63" s="7"/>
      <c r="D63" s="7"/>
      <c r="E63" s="7"/>
      <c r="F63" s="7"/>
      <c r="G63" s="7"/>
      <c r="H63" s="7"/>
      <c r="I63"/>
    </row>
    <row r="64" spans="1:16" x14ac:dyDescent="1.05">
      <c r="B64" s="7"/>
      <c r="C64" s="7"/>
      <c r="D64" s="7"/>
      <c r="E64" s="7"/>
      <c r="F64" s="7"/>
      <c r="G64" s="7"/>
      <c r="H64" s="7"/>
      <c r="I64"/>
    </row>
    <row r="65" spans="2:28" x14ac:dyDescent="1.05">
      <c r="B65" s="7"/>
      <c r="C65" s="7"/>
      <c r="D65" s="7"/>
      <c r="E65" s="7"/>
      <c r="F65" s="7"/>
      <c r="G65" s="7"/>
      <c r="H65" s="7"/>
      <c r="I65" s="7"/>
    </row>
    <row r="66" spans="2:28" ht="27" customHeight="1" x14ac:dyDescent="1.05"/>
    <row r="75" spans="2:28" ht="26" customHeight="1" x14ac:dyDescent="1.05"/>
    <row r="76" spans="2:28" ht="26" customHeight="1" x14ac:dyDescent="1.05"/>
    <row r="77" spans="2:28" x14ac:dyDescent="1.05">
      <c r="Q77" s="6"/>
      <c r="R77" s="6"/>
      <c r="S77" s="6"/>
      <c r="T77" s="6"/>
      <c r="U77" s="6"/>
      <c r="V77" s="6"/>
      <c r="W77" s="6"/>
      <c r="X77" s="6"/>
      <c r="Y77" s="6"/>
    </row>
    <row r="78" spans="2:28" x14ac:dyDescent="1.05">
      <c r="Q78" s="6"/>
      <c r="R78" s="6"/>
      <c r="S78" s="6"/>
      <c r="T78" s="6"/>
      <c r="U78" s="6"/>
      <c r="V78" s="6"/>
      <c r="W78" s="6"/>
      <c r="X78" s="6"/>
      <c r="Y78" s="6"/>
    </row>
    <row r="79" spans="2:28" x14ac:dyDescent="1.05">
      <c r="Q79" s="6"/>
      <c r="R79" s="6"/>
      <c r="S79" s="6"/>
      <c r="T79" s="6"/>
      <c r="U79" s="6"/>
      <c r="V79" s="6"/>
      <c r="W79" s="6"/>
      <c r="X79" s="6"/>
      <c r="Y79" s="6"/>
    </row>
    <row r="80" spans="2:28" x14ac:dyDescent="1.05"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7:28" x14ac:dyDescent="1.05"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7:28" x14ac:dyDescent="1.05">
      <c r="V82" s="6"/>
      <c r="W82" s="6"/>
      <c r="X82" s="6"/>
      <c r="Y82" s="6"/>
      <c r="Z82" s="6"/>
      <c r="AA82" s="6"/>
      <c r="AB82" s="6"/>
    </row>
    <row r="83" spans="17:28" x14ac:dyDescent="1.05">
      <c r="V83" s="6"/>
      <c r="W83" s="6"/>
      <c r="X83" s="6"/>
      <c r="Y83" s="6"/>
      <c r="Z83" s="6"/>
      <c r="AA83" s="6"/>
      <c r="AB83" s="6"/>
    </row>
    <row r="84" spans="17:28" x14ac:dyDescent="1.05">
      <c r="V84" s="6"/>
      <c r="W84" s="6"/>
      <c r="X84" s="6"/>
      <c r="Y84" s="6"/>
      <c r="Z84" s="6"/>
      <c r="AA84" s="6"/>
      <c r="AB84" s="6"/>
    </row>
  </sheetData>
  <mergeCells count="17">
    <mergeCell ref="M40:N44"/>
    <mergeCell ref="A13:A56"/>
    <mergeCell ref="B45:B56"/>
    <mergeCell ref="B13:B27"/>
    <mergeCell ref="B28:B44"/>
    <mergeCell ref="A1:M1"/>
    <mergeCell ref="F11:P11"/>
    <mergeCell ref="A11:A12"/>
    <mergeCell ref="B11:B12"/>
    <mergeCell ref="C11:C12"/>
    <mergeCell ref="E11:E12"/>
    <mergeCell ref="M12:N12"/>
    <mergeCell ref="D11:D12"/>
    <mergeCell ref="M51:N51"/>
    <mergeCell ref="M45:N50"/>
    <mergeCell ref="M28:N39"/>
    <mergeCell ref="M13:N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9645-067A-4672-8BAA-D8A1816FA075}">
  <dimension ref="A1"/>
  <sheetViews>
    <sheetView topLeftCell="A14" workbookViewId="0"/>
  </sheetViews>
  <sheetFormatPr defaultColWidth="8.816406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SprintBacklog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sujeephon.fang@gmail.com</cp:lastModifiedBy>
  <dcterms:created xsi:type="dcterms:W3CDTF">2022-02-08T03:49:14Z</dcterms:created>
  <dcterms:modified xsi:type="dcterms:W3CDTF">2026-03-04T10:47:06Z</dcterms:modified>
</cp:coreProperties>
</file>