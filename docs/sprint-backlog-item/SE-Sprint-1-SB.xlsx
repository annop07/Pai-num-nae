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ACER\Downloads\"/>
    </mc:Choice>
  </mc:AlternateContent>
  <xr:revisionPtr revIDLastSave="0" documentId="13_ncr:1_{466346BA-DB9F-4A61-8AF2-4387DA95935C}" xr6:coauthVersionLast="47" xr6:coauthVersionMax="47" xr10:uidLastSave="{00000000-0000-0000-0000-000000000000}"/>
  <bookViews>
    <workbookView xWindow="-108" yWindow="-108" windowWidth="23256" windowHeight="12456" xr2:uid="{0709F1E1-F1F4-47FC-A275-7F1E846FF281}"/>
  </bookViews>
  <sheets>
    <sheet name="SprintBacklo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" l="1"/>
  <c r="R10" i="1"/>
  <c r="L42" i="1"/>
  <c r="L48" i="1"/>
  <c r="L35" i="1"/>
  <c r="L29" i="1"/>
  <c r="J52" i="1"/>
  <c r="I52" i="1"/>
  <c r="H52" i="1"/>
  <c r="G52" i="1"/>
  <c r="F52" i="1"/>
  <c r="E52" i="1"/>
  <c r="L24" i="1"/>
  <c r="F41" i="1"/>
  <c r="G41" i="1"/>
  <c r="H41" i="1"/>
  <c r="I41" i="1"/>
  <c r="J41" i="1"/>
  <c r="E41" i="1"/>
  <c r="J34" i="1"/>
  <c r="F34" i="1"/>
  <c r="G34" i="1"/>
  <c r="H34" i="1"/>
  <c r="I34" i="1"/>
  <c r="E34" i="1"/>
  <c r="L12" i="1"/>
  <c r="F28" i="1"/>
  <c r="G28" i="1"/>
  <c r="H28" i="1"/>
  <c r="I28" i="1"/>
  <c r="J28" i="1"/>
  <c r="E28" i="1"/>
  <c r="F23" i="1"/>
  <c r="G23" i="1"/>
  <c r="H23" i="1"/>
  <c r="I23" i="1"/>
  <c r="J23" i="1"/>
  <c r="E23" i="1"/>
  <c r="L6" i="1"/>
  <c r="F11" i="1"/>
  <c r="G11" i="1"/>
  <c r="H11" i="1"/>
  <c r="I11" i="1"/>
  <c r="J11" i="1"/>
  <c r="E11" i="1"/>
</calcChain>
</file>

<file path=xl/sharedStrings.xml><?xml version="1.0" encoding="utf-8"?>
<sst xmlns="http://schemas.openxmlformats.org/spreadsheetml/2006/main" count="78" uniqueCount="57">
  <si>
    <t>Sprint Backlog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</si>
  <si>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</si>
  <si>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</si>
  <si>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</si>
  <si>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</si>
  <si>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</si>
  <si>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Effort Remaining</t>
  </si>
  <si>
    <t>Burndown Chart</t>
  </si>
  <si>
    <t>day</t>
  </si>
  <si>
    <t>Database &amp; System Design. I want to design the database and architecture so that the system is ready for development</t>
  </si>
  <si>
    <t>ออกแบบสร้างตาราง Incident</t>
  </si>
  <si>
    <t>เชื่อมโยง FK กับตาราง User และ Notification</t>
  </si>
  <si>
    <t>ติดตั้ง Socket.io บนเซิฟเวอร์</t>
  </si>
  <si>
    <t>เชื่อมต่อระบบไฟล์หลักฐานเช่น Cloudinary</t>
  </si>
  <si>
    <t>Backend API &amp; Real-time Services. I want to handle incident data and real-time communication.</t>
  </si>
  <si>
    <t>Frontend Interface. I want to report incidents and view dashboards via UI.</t>
  </si>
  <si>
    <t>สร้าง Form รายงาน incidents</t>
  </si>
  <si>
    <t>Quality Assurance (Testing). I want to verify that the system works correctly and notify users properly.</t>
  </si>
  <si>
    <t>Notification Test</t>
  </si>
  <si>
    <t>User Acceptance Test</t>
  </si>
  <si>
    <t>Documentation</t>
  </si>
  <si>
    <t>Server Environment Setup. I want to prepare the university server environment for hosting.</t>
  </si>
  <si>
    <t>ติดตั้ง Git และ Clone Project Repository ลง Server</t>
  </si>
  <si>
    <t>ติดตั้ง Docker Compose เพื่อรัน App</t>
  </si>
  <si>
    <t>สร้าง Project ใหม่ใน Supabase (Production Env)</t>
  </si>
  <si>
    <t>Application Deployment. I want to launch the application services.</t>
  </si>
  <si>
    <t>ตั้งค่า Environment Variables บน Railway (Supabase URL, API Keys)</t>
  </si>
  <si>
    <t>ตั้งค่า Environment Variables (.env) บน  Server (Supabase URL, Key)</t>
  </si>
  <si>
    <t>แก้ไข Code Backend ให้รองรับ CORS (อนุญาต Domain มหาลัย)</t>
  </si>
  <si>
    <t>Deploy Backend และตรวจสอบ Health Check URL</t>
  </si>
  <si>
    <t>แก้ไข .env Frontend ให้ชี้ไปที่ URL ของ Railway (ไม่ใช่ Localhost)</t>
  </si>
  <si>
    <t>ทดสอบไฟล์ Build บนเครื่อง Local ก่อนนำขึ้น Server (Preview)</t>
  </si>
  <si>
    <t>Upload Froend SFTP ขึ้น Domain มหาลัย</t>
  </si>
  <si>
    <t>ทดสอบยิง API จากเว็บมหาลัยไป Railway (เช็ค CORS Error)</t>
  </si>
  <si>
    <t>ทดสอบ Supabase Auth flow (Login/Register) บน Environment จริง</t>
  </si>
  <si>
    <t>ตั้งค่า Domain และ SSL ของเซิฟเวอร์มหาลัย</t>
  </si>
  <si>
    <t>สร้างหน้า Dashboard สำหรับ Admin (Table Layout)</t>
  </si>
  <si>
    <t>สร้าง UI ห้องแชท (Chat Window)</t>
  </si>
  <si>
    <t>เชื่อมต่อ Socket Client ฝั่งหน้าบ้าน (Send/Receive)</t>
  </si>
  <si>
    <t>เชื่อมต่อ Form กับ API</t>
  </si>
  <si>
    <t>ดึงข้อมูลจาก API มาแสดงใน Dashboard</t>
  </si>
  <si>
    <t>ออกแบบ Flow การทำงานของ Chat System</t>
  </si>
  <si>
    <t>พัฒนา API Incident</t>
  </si>
  <si>
    <t>พัฒนา API Admin/Incident</t>
  </si>
  <si>
    <t>พัฒนา API Chat</t>
  </si>
  <si>
    <t>Team Velocity</t>
  </si>
  <si>
    <t>สมัคร/สร้าง Project บน Railway และเชื่อมต่อ GitHub Repo</t>
  </si>
  <si>
    <t>ออกแบบระบบสร้าง Chat System</t>
  </si>
  <si>
    <t>A-DAPT Blueprint</t>
  </si>
  <si>
    <t>Test report</t>
  </si>
  <si>
    <t xml:space="preserve">User manual </t>
  </si>
  <si>
    <t xml:space="preserve">Change log  </t>
  </si>
  <si>
    <t>API Testing</t>
  </si>
  <si>
    <t>Unit Test</t>
  </si>
  <si>
    <t>Test Desing / Test Data</t>
  </si>
  <si>
    <t>Team velocity</t>
  </si>
  <si>
    <t>รวม Estimate of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</si>
</sst>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20"/>
      <color theme="1"/>
      <name val="Cordia New"/>
      <family val="2"/>
    </font>
    <font>
      <b/>
      <sz val="20"/>
      <color rgb="FF000000"/>
      <name val="Cordia New"/>
      <family val="2"/>
    </font>
    <font>
      <sz val="20"/>
      <color rgb="FF000000"/>
      <name val="Cordia New"/>
      <family val="2"/>
    </font>
    <font>
      <b/>
      <sz val="20"/>
      <color theme="1"/>
      <name val="Cordia New"/>
      <family val="2"/>
    </font>
    <font>
      <sz val="24"/>
      <color theme="1"/>
      <name val="Cordia New"/>
      <family val="2"/>
    </font>
    <font>
      <sz val="36"/>
      <color theme="1"/>
      <name val="Cordia New"/>
      <family val="2"/>
    </font>
    <font>
      <sz val="11"/>
      <color rgb="FF000000"/>
      <name val="Helvetica"/>
      <family val="2"/>
    </font>
    <font>
      <sz val="11"/>
      <color theme="1"/>
      <name val="Calibri"/>
      <family val="2"/>
    </font>
    <font>
      <sz val="26"/>
      <color theme="1"/>
      <name val="Cordia Ne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0" xfId="0" applyFont="1"/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3" borderId="6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4" borderId="0" xfId="0" applyFont="1" applyFill="1"/>
    <xf numFmtId="0" fontId="1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justify" vertical="center" wrapText="1"/>
    </xf>
    <xf numFmtId="0" fontId="3" fillId="4" borderId="12" xfId="0" applyFont="1" applyFill="1" applyBorder="1" applyAlignment="1">
      <alignment horizontal="justify" vertical="center" wrapText="1"/>
    </xf>
    <xf numFmtId="0" fontId="5" fillId="0" borderId="0" xfId="0" applyFont="1"/>
    <xf numFmtId="0" fontId="7" fillId="4" borderId="6" xfId="0" applyFont="1" applyFill="1" applyBorder="1" applyAlignment="1">
      <alignment horizontal="center"/>
    </xf>
    <xf numFmtId="0" fontId="1" fillId="4" borderId="6" xfId="0" applyFont="1" applyFill="1" applyBorder="1"/>
    <xf numFmtId="0" fontId="3" fillId="4" borderId="6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justify" vertical="center" wrapText="1"/>
    </xf>
    <xf numFmtId="0" fontId="3" fillId="4" borderId="20" xfId="0" applyFont="1" applyFill="1" applyBorder="1" applyAlignment="1">
      <alignment horizontal="justify" vertical="center" wrapText="1"/>
    </xf>
    <xf numFmtId="0" fontId="3" fillId="4" borderId="21" xfId="0" applyFont="1" applyFill="1" applyBorder="1" applyAlignment="1">
      <alignment horizontal="justify" vertical="center" wrapText="1"/>
    </xf>
    <xf numFmtId="0" fontId="3" fillId="4" borderId="22" xfId="0" applyFont="1" applyFill="1" applyBorder="1" applyAlignment="1">
      <alignment horizontal="justify" vertical="center" wrapText="1"/>
    </xf>
    <xf numFmtId="0" fontId="3" fillId="4" borderId="6" xfId="0" applyFont="1" applyFill="1" applyBorder="1" applyAlignment="1">
      <alignment horizontal="justify" vertical="center" wrapText="1"/>
    </xf>
    <xf numFmtId="0" fontId="3" fillId="4" borderId="6" xfId="0" applyFont="1" applyFill="1" applyBorder="1" applyAlignment="1">
      <alignment horizontal="justify" vertical="center"/>
    </xf>
    <xf numFmtId="0" fontId="3" fillId="4" borderId="6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3" fillId="0" borderId="0" xfId="0" applyFont="1"/>
    <xf numFmtId="0" fontId="8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3" fillId="4" borderId="2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justify" vertical="center" wrapText="1"/>
    </xf>
    <xf numFmtId="0" fontId="3" fillId="4" borderId="5" xfId="0" applyFont="1" applyFill="1" applyBorder="1" applyAlignment="1">
      <alignment horizontal="justify" vertical="center" wrapText="1"/>
    </xf>
    <xf numFmtId="0" fontId="3" fillId="4" borderId="3" xfId="0" applyFont="1" applyFill="1" applyBorder="1" applyAlignment="1">
      <alignment horizontal="justify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Server Environment Setup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SprintBacklog!$E$11:$K$11</c:f>
              <c:numCache>
                <c:formatCode>General</c:formatCode>
                <c:ptCount val="7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F-0543-BB99-2210DE1BF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Application Deployment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SprintBacklog!$E$23:$K$23</c:f>
              <c:numCache>
                <c:formatCode>General</c:formatCode>
                <c:ptCount val="7"/>
                <c:pt idx="0">
                  <c:v>22</c:v>
                </c:pt>
                <c:pt idx="1">
                  <c:v>20</c:v>
                </c:pt>
                <c:pt idx="2">
                  <c:v>19</c:v>
                </c:pt>
                <c:pt idx="3">
                  <c:v>11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2C-534E-950E-1EE16180B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Database &amp; System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SprintBacklog!$E$28:$K$28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8-F74B-86BD-64EB08B47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Backend API &amp; Real-time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SprintBacklog!$E$34:$K$34</c:f>
              <c:numCache>
                <c:formatCode>General</c:formatCode>
                <c:ptCount val="7"/>
                <c:pt idx="0">
                  <c:v>21</c:v>
                </c:pt>
                <c:pt idx="1">
                  <c:v>21</c:v>
                </c:pt>
                <c:pt idx="2">
                  <c:v>18</c:v>
                </c:pt>
                <c:pt idx="3">
                  <c:v>18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A-F747-9BA4-7E3DC530C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Frontend Interface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SprintBacklog!$E$41:$K$41</c:f>
              <c:numCache>
                <c:formatCode>General</c:formatCode>
                <c:ptCount val="7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0-3D44-AB91-DC8B382BA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Documentation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SprintBacklog!$E$52:$K$52</c:f>
              <c:numCache>
                <c:formatCode>General</c:formatCode>
                <c:ptCount val="7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1-8D46-8116-9B656E70B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Quality Assurance (Testing)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SprintBacklog!$E$47:$K$47</c:f>
              <c:numCache>
                <c:formatCode>General</c:formatCode>
                <c:ptCount val="7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4-274A-867E-86C158A95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16932</xdr:rowOff>
    </xdr:from>
    <xdr:to>
      <xdr:col>3</xdr:col>
      <xdr:colOff>1202267</xdr:colOff>
      <xdr:row>70</xdr:row>
      <xdr:rowOff>304800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D28A8508-13D5-534F-83F7-8971BC362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74</xdr:row>
      <xdr:rowOff>0</xdr:rowOff>
    </xdr:from>
    <xdr:to>
      <xdr:col>3</xdr:col>
      <xdr:colOff>1202267</xdr:colOff>
      <xdr:row>86</xdr:row>
      <xdr:rowOff>287868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46893657-51C1-E14D-93F6-9DF8EF660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90</xdr:row>
      <xdr:rowOff>0</xdr:rowOff>
    </xdr:from>
    <xdr:to>
      <xdr:col>3</xdr:col>
      <xdr:colOff>1202267</xdr:colOff>
      <xdr:row>102</xdr:row>
      <xdr:rowOff>287868</xdr:rowOff>
    </xdr:to>
    <xdr:graphicFrame macro="">
      <xdr:nvGraphicFramePr>
        <xdr:cNvPr id="8" name="แผนภูมิ 7">
          <a:extLst>
            <a:ext uri="{FF2B5EF4-FFF2-40B4-BE49-F238E27FC236}">
              <a16:creationId xmlns:a16="http://schemas.microsoft.com/office/drawing/2014/main" id="{8535463B-7226-8E4F-96C9-C6E522DC8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106</xdr:row>
      <xdr:rowOff>0</xdr:rowOff>
    </xdr:from>
    <xdr:to>
      <xdr:col>3</xdr:col>
      <xdr:colOff>1202267</xdr:colOff>
      <xdr:row>118</xdr:row>
      <xdr:rowOff>287868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77AF1D66-CD14-F646-9D2A-5C8DD02B3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122</xdr:row>
      <xdr:rowOff>0</xdr:rowOff>
    </xdr:from>
    <xdr:to>
      <xdr:col>3</xdr:col>
      <xdr:colOff>1202267</xdr:colOff>
      <xdr:row>134</xdr:row>
      <xdr:rowOff>287868</xdr:rowOff>
    </xdr:to>
    <xdr:graphicFrame macro="">
      <xdr:nvGraphicFramePr>
        <xdr:cNvPr id="10" name="แผนภูมิ 9">
          <a:extLst>
            <a:ext uri="{FF2B5EF4-FFF2-40B4-BE49-F238E27FC236}">
              <a16:creationId xmlns:a16="http://schemas.microsoft.com/office/drawing/2014/main" id="{06CE20A0-42B8-B646-A64B-A4791D78A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846667</xdr:colOff>
      <xdr:row>157</xdr:row>
      <xdr:rowOff>322538</xdr:rowOff>
    </xdr:from>
    <xdr:to>
      <xdr:col>3</xdr:col>
      <xdr:colOff>1182109</xdr:colOff>
      <xdr:row>170</xdr:row>
      <xdr:rowOff>287867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ECDA67B2-A3F7-B341-83B6-8DC3A1955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139</xdr:row>
      <xdr:rowOff>0</xdr:rowOff>
    </xdr:from>
    <xdr:to>
      <xdr:col>3</xdr:col>
      <xdr:colOff>1202267</xdr:colOff>
      <xdr:row>151</xdr:row>
      <xdr:rowOff>287869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E289C363-0C4C-7942-A4B7-BB74A75E2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96CC-A143-4128-B829-B54D05A600A2}">
  <dimension ref="A1:AA166"/>
  <sheetViews>
    <sheetView tabSelected="1" zoomScale="61" zoomScaleNormal="41" workbookViewId="0">
      <selection activeCell="C3" sqref="C3"/>
    </sheetView>
  </sheetViews>
  <sheetFormatPr defaultColWidth="8.6640625" defaultRowHeight="30" x14ac:dyDescent="0.85"/>
  <cols>
    <col min="1" max="1" width="11.33203125" style="1" customWidth="1"/>
    <col min="2" max="2" width="39.109375" style="1" customWidth="1"/>
    <col min="3" max="3" width="57.77734375" style="1" customWidth="1"/>
    <col min="4" max="4" width="19.109375" style="1" customWidth="1"/>
    <col min="5" max="5" width="8.109375" style="1" customWidth="1"/>
    <col min="6" max="6" width="7.44140625" style="1" customWidth="1"/>
    <col min="7" max="7" width="8" style="1" customWidth="1"/>
    <col min="8" max="8" width="7.44140625" style="1" customWidth="1"/>
    <col min="9" max="9" width="8.109375" style="1" customWidth="1"/>
    <col min="10" max="11" width="7.6640625" style="1" customWidth="1"/>
    <col min="12" max="12" width="8.33203125" style="1" customWidth="1"/>
    <col min="13" max="13" width="7.33203125" style="1" customWidth="1"/>
    <col min="14" max="14" width="8.33203125" style="1" customWidth="1"/>
    <col min="15" max="15" width="0.109375" style="1" customWidth="1"/>
    <col min="16" max="17" width="8.6640625" style="1"/>
    <col min="18" max="18" width="15.6640625" style="1" customWidth="1"/>
    <col min="19" max="19" width="25.6640625" style="1" customWidth="1"/>
    <col min="20" max="20" width="8.6640625" style="1"/>
    <col min="21" max="21" width="11.44140625" style="1" customWidth="1"/>
    <col min="22" max="16384" width="8.6640625" style="1"/>
  </cols>
  <sheetData>
    <row r="1" spans="1:21" ht="36.6" x14ac:dyDescent="1.0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4"/>
      <c r="N1" s="4"/>
      <c r="O1" s="4"/>
      <c r="P1" s="4"/>
      <c r="Q1" s="4"/>
      <c r="S1" s="25"/>
      <c r="T1" s="25"/>
      <c r="U1" s="25"/>
    </row>
    <row r="2" spans="1:21" ht="36.6" x14ac:dyDescent="1.05">
      <c r="S2" s="25"/>
      <c r="T2" s="25"/>
      <c r="U2" s="25"/>
    </row>
    <row r="3" spans="1:21" ht="36.6" x14ac:dyDescent="1.05">
      <c r="S3" s="25"/>
      <c r="T3" s="25"/>
      <c r="U3" s="25"/>
    </row>
    <row r="4" spans="1:21" x14ac:dyDescent="0.85">
      <c r="A4" s="83" t="s">
        <v>1</v>
      </c>
      <c r="B4" s="83" t="s">
        <v>2</v>
      </c>
      <c r="C4" s="83" t="s">
        <v>3</v>
      </c>
      <c r="D4" s="86" t="s">
        <v>4</v>
      </c>
      <c r="E4" s="82" t="s">
        <v>5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29"/>
      <c r="Q4" s="30"/>
    </row>
    <row r="5" spans="1:21" x14ac:dyDescent="0.85">
      <c r="A5" s="84"/>
      <c r="B5" s="84"/>
      <c r="C5" s="85"/>
      <c r="D5" s="85"/>
      <c r="E5" s="2">
        <v>1</v>
      </c>
      <c r="F5" s="2">
        <v>2</v>
      </c>
      <c r="G5" s="2">
        <v>3</v>
      </c>
      <c r="H5" s="2">
        <v>4</v>
      </c>
      <c r="I5" s="2">
        <v>5</v>
      </c>
      <c r="J5" s="44">
        <v>6</v>
      </c>
      <c r="K5" s="43">
        <v>7</v>
      </c>
      <c r="L5" s="87" t="s">
        <v>45</v>
      </c>
      <c r="M5" s="88"/>
    </row>
    <row r="6" spans="1:21" ht="34.049999999999997" customHeight="1" x14ac:dyDescent="0.85">
      <c r="A6" s="57">
        <v>1</v>
      </c>
      <c r="B6" s="57" t="s">
        <v>21</v>
      </c>
      <c r="C6" s="23" t="s">
        <v>22</v>
      </c>
      <c r="D6" s="16">
        <v>1</v>
      </c>
      <c r="E6" s="16">
        <v>1</v>
      </c>
      <c r="F6" s="16">
        <v>0</v>
      </c>
      <c r="G6" s="16">
        <v>0</v>
      </c>
      <c r="H6" s="16">
        <v>0</v>
      </c>
      <c r="I6" s="16">
        <v>0</v>
      </c>
      <c r="J6" s="17">
        <v>0</v>
      </c>
      <c r="K6" s="28">
        <v>0</v>
      </c>
      <c r="L6" s="56">
        <f>SUM(D6:D10)</f>
        <v>9</v>
      </c>
      <c r="M6" s="56"/>
      <c r="R6" s="51" t="s">
        <v>56</v>
      </c>
      <c r="S6" s="51"/>
    </row>
    <row r="7" spans="1:21" x14ac:dyDescent="0.85">
      <c r="A7" s="57"/>
      <c r="B7" s="57"/>
      <c r="C7" s="23" t="s">
        <v>23</v>
      </c>
      <c r="D7" s="16">
        <v>1</v>
      </c>
      <c r="E7" s="16">
        <v>1</v>
      </c>
      <c r="F7" s="16">
        <v>0</v>
      </c>
      <c r="G7" s="16">
        <v>0</v>
      </c>
      <c r="H7" s="16">
        <v>0</v>
      </c>
      <c r="I7" s="16">
        <v>0</v>
      </c>
      <c r="J7" s="17">
        <v>0</v>
      </c>
      <c r="K7" s="28">
        <v>0</v>
      </c>
      <c r="L7" s="56"/>
      <c r="M7" s="56"/>
      <c r="R7" s="50">
        <f>SUM(L6,L12,L24,L29,L35,L42,L48)</f>
        <v>118</v>
      </c>
      <c r="S7" s="50"/>
    </row>
    <row r="8" spans="1:21" ht="31.05" customHeight="1" x14ac:dyDescent="0.85">
      <c r="A8" s="57"/>
      <c r="B8" s="57"/>
      <c r="C8" s="24" t="s">
        <v>24</v>
      </c>
      <c r="D8" s="13">
        <v>1</v>
      </c>
      <c r="E8" s="13">
        <v>1</v>
      </c>
      <c r="F8" s="13">
        <v>0</v>
      </c>
      <c r="G8" s="13">
        <v>0</v>
      </c>
      <c r="H8" s="13">
        <v>0</v>
      </c>
      <c r="I8" s="13">
        <v>0</v>
      </c>
      <c r="J8" s="20">
        <v>0</v>
      </c>
      <c r="K8" s="28">
        <v>0</v>
      </c>
      <c r="L8" s="56"/>
      <c r="M8" s="56"/>
    </row>
    <row r="9" spans="1:21" ht="60" x14ac:dyDescent="1.1000000000000001">
      <c r="A9" s="57"/>
      <c r="B9" s="57"/>
      <c r="C9" s="35" t="s">
        <v>27</v>
      </c>
      <c r="D9" s="28">
        <v>2</v>
      </c>
      <c r="E9" s="28">
        <v>2</v>
      </c>
      <c r="F9" s="28">
        <v>2</v>
      </c>
      <c r="G9" s="28">
        <v>0</v>
      </c>
      <c r="H9" s="28">
        <v>0</v>
      </c>
      <c r="I9" s="28">
        <v>0</v>
      </c>
      <c r="J9" s="18">
        <v>0</v>
      </c>
      <c r="K9" s="28">
        <v>0</v>
      </c>
      <c r="L9" s="56"/>
      <c r="M9" s="56"/>
      <c r="R9" s="49" t="s">
        <v>55</v>
      </c>
      <c r="S9" s="49"/>
    </row>
    <row r="10" spans="1:21" x14ac:dyDescent="0.85">
      <c r="A10" s="57"/>
      <c r="B10" s="57"/>
      <c r="C10" s="35" t="s">
        <v>35</v>
      </c>
      <c r="D10" s="28">
        <v>4</v>
      </c>
      <c r="E10" s="28">
        <v>4</v>
      </c>
      <c r="F10" s="28">
        <v>4</v>
      </c>
      <c r="G10" s="28">
        <v>4</v>
      </c>
      <c r="H10" s="28">
        <v>0</v>
      </c>
      <c r="I10" s="28">
        <v>0</v>
      </c>
      <c r="J10" s="18">
        <v>0</v>
      </c>
      <c r="K10" s="28">
        <v>0</v>
      </c>
      <c r="L10" s="56"/>
      <c r="M10" s="56"/>
      <c r="R10" s="50">
        <f>SUM(L6,L12,L24,L29,L35,L42,L48)/COUNT(L6,L12,L24,L29,L35,L42,L48)</f>
        <v>16.857142857142858</v>
      </c>
      <c r="S10" s="50"/>
    </row>
    <row r="11" spans="1:21" x14ac:dyDescent="0.85">
      <c r="A11" s="5"/>
      <c r="B11" s="9"/>
      <c r="C11" s="9"/>
      <c r="D11" s="12" t="s">
        <v>6</v>
      </c>
      <c r="E11" s="10">
        <f>SUM(E6:E10)</f>
        <v>9</v>
      </c>
      <c r="F11" s="10">
        <f t="shared" ref="F11:J11" si="0">SUM(F6:F10)</f>
        <v>6</v>
      </c>
      <c r="G11" s="10">
        <f t="shared" si="0"/>
        <v>4</v>
      </c>
      <c r="H11" s="10">
        <f t="shared" si="0"/>
        <v>0</v>
      </c>
      <c r="I11" s="10">
        <f t="shared" si="0"/>
        <v>0</v>
      </c>
      <c r="J11" s="10">
        <f t="shared" si="0"/>
        <v>0</v>
      </c>
      <c r="K11" s="10">
        <v>0</v>
      </c>
      <c r="L11" s="45"/>
      <c r="M11" s="45"/>
    </row>
    <row r="12" spans="1:21" ht="58.05" customHeight="1" x14ac:dyDescent="0.85">
      <c r="A12" s="57">
        <v>1</v>
      </c>
      <c r="B12" s="57" t="s">
        <v>25</v>
      </c>
      <c r="C12" s="36" t="s">
        <v>46</v>
      </c>
      <c r="D12" s="28">
        <v>1</v>
      </c>
      <c r="E12" s="28">
        <v>1</v>
      </c>
      <c r="F12" s="28">
        <v>1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56">
        <f>SUM(D12:D22)</f>
        <v>22</v>
      </c>
      <c r="M12" s="56"/>
    </row>
    <row r="13" spans="1:21" ht="34.049999999999997" customHeight="1" x14ac:dyDescent="0.85">
      <c r="A13" s="57"/>
      <c r="B13" s="57"/>
      <c r="C13" s="35" t="s">
        <v>23</v>
      </c>
      <c r="D13" s="28">
        <v>1</v>
      </c>
      <c r="E13" s="28">
        <v>1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56"/>
      <c r="M13" s="56"/>
    </row>
    <row r="14" spans="1:21" ht="27" customHeight="1" x14ac:dyDescent="0.85">
      <c r="A14" s="57"/>
      <c r="B14" s="57"/>
      <c r="C14" s="35" t="s">
        <v>24</v>
      </c>
      <c r="D14" s="28">
        <v>1</v>
      </c>
      <c r="E14" s="28">
        <v>1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56"/>
      <c r="M14" s="56"/>
    </row>
    <row r="15" spans="1:21" ht="57" customHeight="1" x14ac:dyDescent="0.85">
      <c r="A15" s="57"/>
      <c r="B15" s="57"/>
      <c r="C15" s="35" t="s">
        <v>26</v>
      </c>
      <c r="D15" s="28">
        <v>3</v>
      </c>
      <c r="E15" s="28">
        <v>3</v>
      </c>
      <c r="F15" s="28">
        <v>3</v>
      </c>
      <c r="G15" s="28">
        <v>3</v>
      </c>
      <c r="H15" s="28">
        <v>0</v>
      </c>
      <c r="I15" s="28">
        <v>0</v>
      </c>
      <c r="J15" s="28">
        <v>0</v>
      </c>
      <c r="K15" s="28">
        <v>0</v>
      </c>
      <c r="L15" s="56"/>
      <c r="M15" s="56"/>
    </row>
    <row r="16" spans="1:21" ht="49.95" customHeight="1" x14ac:dyDescent="0.85">
      <c r="A16" s="57"/>
      <c r="B16" s="57"/>
      <c r="C16" s="35" t="s">
        <v>28</v>
      </c>
      <c r="D16" s="28">
        <v>3</v>
      </c>
      <c r="E16" s="28">
        <v>3</v>
      </c>
      <c r="F16" s="28">
        <v>3</v>
      </c>
      <c r="G16" s="28">
        <v>3</v>
      </c>
      <c r="H16" s="28">
        <v>0</v>
      </c>
      <c r="I16" s="28">
        <v>0</v>
      </c>
      <c r="J16" s="28">
        <v>0</v>
      </c>
      <c r="K16" s="28">
        <v>0</v>
      </c>
      <c r="L16" s="56"/>
      <c r="M16" s="56"/>
    </row>
    <row r="17" spans="1:13" ht="37.950000000000003" customHeight="1" x14ac:dyDescent="0.85">
      <c r="A17" s="57"/>
      <c r="B17" s="57"/>
      <c r="C17" s="35" t="s">
        <v>29</v>
      </c>
      <c r="D17" s="28">
        <v>3</v>
      </c>
      <c r="E17" s="40">
        <v>3</v>
      </c>
      <c r="F17" s="28">
        <v>3</v>
      </c>
      <c r="G17" s="28">
        <v>3</v>
      </c>
      <c r="H17" s="28">
        <v>3</v>
      </c>
      <c r="I17" s="28">
        <v>0</v>
      </c>
      <c r="J17" s="28">
        <v>0</v>
      </c>
      <c r="K17" s="28">
        <v>0</v>
      </c>
      <c r="L17" s="56"/>
      <c r="M17" s="56"/>
    </row>
    <row r="18" spans="1:13" ht="54" customHeight="1" x14ac:dyDescent="0.85">
      <c r="A18" s="57"/>
      <c r="B18" s="57"/>
      <c r="C18" s="37" t="s">
        <v>30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0</v>
      </c>
      <c r="J18" s="28">
        <v>0</v>
      </c>
      <c r="K18" s="28">
        <v>0</v>
      </c>
      <c r="L18" s="56"/>
      <c r="M18" s="56"/>
    </row>
    <row r="19" spans="1:13" ht="52.05" customHeight="1" x14ac:dyDescent="0.85">
      <c r="A19" s="57"/>
      <c r="B19" s="57"/>
      <c r="C19" s="37" t="s">
        <v>31</v>
      </c>
      <c r="D19" s="28">
        <v>2</v>
      </c>
      <c r="E19" s="28">
        <v>2</v>
      </c>
      <c r="F19" s="28">
        <v>2</v>
      </c>
      <c r="G19" s="28">
        <v>2</v>
      </c>
      <c r="H19" s="28">
        <v>0</v>
      </c>
      <c r="I19" s="28">
        <v>0</v>
      </c>
      <c r="J19" s="28">
        <v>0</v>
      </c>
      <c r="K19" s="28">
        <v>0</v>
      </c>
      <c r="L19" s="56"/>
      <c r="M19" s="56"/>
    </row>
    <row r="20" spans="1:13" ht="27" customHeight="1" x14ac:dyDescent="0.85">
      <c r="A20" s="57"/>
      <c r="B20" s="57"/>
      <c r="C20" s="35" t="s">
        <v>32</v>
      </c>
      <c r="D20" s="28">
        <v>2</v>
      </c>
      <c r="E20" s="28">
        <v>2</v>
      </c>
      <c r="F20" s="28">
        <v>2</v>
      </c>
      <c r="G20" s="28">
        <v>2</v>
      </c>
      <c r="H20" s="28">
        <v>2</v>
      </c>
      <c r="I20" s="28">
        <v>0</v>
      </c>
      <c r="J20" s="28">
        <v>0</v>
      </c>
      <c r="K20" s="28">
        <v>0</v>
      </c>
      <c r="L20" s="56"/>
      <c r="M20" s="56"/>
    </row>
    <row r="21" spans="1:13" ht="27" customHeight="1" x14ac:dyDescent="0.85">
      <c r="A21" s="57"/>
      <c r="B21" s="57"/>
      <c r="C21" s="35" t="s">
        <v>33</v>
      </c>
      <c r="D21" s="28">
        <v>2</v>
      </c>
      <c r="E21" s="28">
        <v>2</v>
      </c>
      <c r="F21" s="28">
        <v>2</v>
      </c>
      <c r="G21" s="28">
        <v>2</v>
      </c>
      <c r="H21" s="28">
        <v>2</v>
      </c>
      <c r="I21" s="28">
        <v>2</v>
      </c>
      <c r="J21" s="28">
        <v>0</v>
      </c>
      <c r="K21" s="28">
        <v>0</v>
      </c>
      <c r="L21" s="56"/>
      <c r="M21" s="56"/>
    </row>
    <row r="22" spans="1:13" ht="51" customHeight="1" x14ac:dyDescent="0.85">
      <c r="A22" s="57"/>
      <c r="B22" s="57"/>
      <c r="C22" s="37" t="s">
        <v>34</v>
      </c>
      <c r="D22" s="28">
        <v>3</v>
      </c>
      <c r="E22" s="28">
        <v>3</v>
      </c>
      <c r="F22" s="28">
        <v>3</v>
      </c>
      <c r="G22" s="28">
        <v>3</v>
      </c>
      <c r="H22" s="28">
        <v>3</v>
      </c>
      <c r="I22" s="28">
        <v>3</v>
      </c>
      <c r="J22" s="28">
        <v>0</v>
      </c>
      <c r="K22" s="28">
        <v>0</v>
      </c>
      <c r="L22" s="56"/>
      <c r="M22" s="56"/>
    </row>
    <row r="23" spans="1:13" ht="31.95" customHeight="1" x14ac:dyDescent="0.85">
      <c r="D23" s="12" t="s">
        <v>6</v>
      </c>
      <c r="E23" s="10">
        <f>SUM(E12:E22)</f>
        <v>22</v>
      </c>
      <c r="F23" s="10">
        <f t="shared" ref="F23:J23" si="1">SUM(F12:F22)</f>
        <v>20</v>
      </c>
      <c r="G23" s="10">
        <f t="shared" si="1"/>
        <v>19</v>
      </c>
      <c r="H23" s="10">
        <f t="shared" si="1"/>
        <v>11</v>
      </c>
      <c r="I23" s="10">
        <f t="shared" si="1"/>
        <v>5</v>
      </c>
      <c r="J23" s="10">
        <f t="shared" si="1"/>
        <v>0</v>
      </c>
      <c r="K23" s="10">
        <v>0</v>
      </c>
      <c r="L23" s="69"/>
      <c r="M23" s="70"/>
    </row>
    <row r="24" spans="1:13" ht="27" customHeight="1" x14ac:dyDescent="0.85">
      <c r="A24" s="62">
        <v>1</v>
      </c>
      <c r="B24" s="64" t="s">
        <v>9</v>
      </c>
      <c r="C24" s="15" t="s">
        <v>10</v>
      </c>
      <c r="D24" s="16">
        <v>2</v>
      </c>
      <c r="E24" s="16">
        <v>2</v>
      </c>
      <c r="F24" s="16">
        <v>2</v>
      </c>
      <c r="G24" s="16">
        <v>0</v>
      </c>
      <c r="H24" s="16">
        <v>0</v>
      </c>
      <c r="I24" s="16">
        <v>0</v>
      </c>
      <c r="J24" s="17">
        <v>0</v>
      </c>
      <c r="K24" s="28">
        <v>0</v>
      </c>
      <c r="L24" s="56">
        <f>SUM(D24:D27)</f>
        <v>13</v>
      </c>
      <c r="M24" s="56"/>
    </row>
    <row r="25" spans="1:13" ht="27" customHeight="1" x14ac:dyDescent="0.85">
      <c r="A25" s="59"/>
      <c r="B25" s="65"/>
      <c r="C25" s="15" t="s">
        <v>11</v>
      </c>
      <c r="D25" s="16">
        <v>1</v>
      </c>
      <c r="E25" s="16">
        <v>1</v>
      </c>
      <c r="F25" s="16">
        <v>1</v>
      </c>
      <c r="G25" s="16">
        <v>0</v>
      </c>
      <c r="H25" s="16">
        <v>0</v>
      </c>
      <c r="I25" s="16">
        <v>0</v>
      </c>
      <c r="J25" s="17">
        <v>0</v>
      </c>
      <c r="K25" s="28">
        <v>0</v>
      </c>
      <c r="L25" s="56"/>
      <c r="M25" s="56"/>
    </row>
    <row r="26" spans="1:13" ht="27" customHeight="1" x14ac:dyDescent="0.85">
      <c r="A26" s="59"/>
      <c r="B26" s="65"/>
      <c r="C26" s="15" t="s">
        <v>47</v>
      </c>
      <c r="D26" s="16">
        <v>6</v>
      </c>
      <c r="E26" s="16">
        <v>6</v>
      </c>
      <c r="F26" s="16">
        <v>6</v>
      </c>
      <c r="G26" s="16">
        <v>6</v>
      </c>
      <c r="H26" s="16">
        <v>6</v>
      </c>
      <c r="I26" s="16">
        <v>0</v>
      </c>
      <c r="J26" s="17">
        <v>0</v>
      </c>
      <c r="K26" s="28">
        <v>0</v>
      </c>
      <c r="L26" s="56"/>
      <c r="M26" s="56"/>
    </row>
    <row r="27" spans="1:13" ht="27" customHeight="1" x14ac:dyDescent="0.85">
      <c r="A27" s="63"/>
      <c r="B27" s="66"/>
      <c r="C27" s="15" t="s">
        <v>41</v>
      </c>
      <c r="D27" s="16">
        <v>4</v>
      </c>
      <c r="E27" s="16">
        <v>4</v>
      </c>
      <c r="F27" s="16">
        <v>4</v>
      </c>
      <c r="G27" s="16">
        <v>4</v>
      </c>
      <c r="H27" s="16">
        <v>4</v>
      </c>
      <c r="I27" s="16">
        <v>0</v>
      </c>
      <c r="J27" s="17">
        <v>0</v>
      </c>
      <c r="K27" s="28">
        <v>0</v>
      </c>
      <c r="L27" s="56"/>
      <c r="M27" s="56"/>
    </row>
    <row r="28" spans="1:13" x14ac:dyDescent="0.85">
      <c r="A28" s="6"/>
      <c r="B28" s="7"/>
      <c r="C28" s="3"/>
      <c r="D28" s="12" t="s">
        <v>6</v>
      </c>
      <c r="E28" s="10">
        <f>SUM(E24:E27)</f>
        <v>13</v>
      </c>
      <c r="F28" s="10">
        <f t="shared" ref="F28:J28" si="2">SUM(F24:F27)</f>
        <v>13</v>
      </c>
      <c r="G28" s="10">
        <f t="shared" si="2"/>
        <v>10</v>
      </c>
      <c r="H28" s="10">
        <f t="shared" si="2"/>
        <v>10</v>
      </c>
      <c r="I28" s="10">
        <f t="shared" si="2"/>
        <v>0</v>
      </c>
      <c r="J28" s="10">
        <f t="shared" si="2"/>
        <v>0</v>
      </c>
      <c r="K28" s="10">
        <v>0</v>
      </c>
      <c r="L28" s="61"/>
      <c r="M28" s="61"/>
    </row>
    <row r="29" spans="1:13" x14ac:dyDescent="0.85">
      <c r="A29" s="62">
        <v>1</v>
      </c>
      <c r="B29" s="67" t="s">
        <v>14</v>
      </c>
      <c r="C29" s="15" t="s">
        <v>42</v>
      </c>
      <c r="D29" s="16">
        <v>4</v>
      </c>
      <c r="E29" s="16">
        <v>4</v>
      </c>
      <c r="F29" s="16">
        <v>4</v>
      </c>
      <c r="G29" s="16">
        <v>4</v>
      </c>
      <c r="H29" s="16">
        <v>4</v>
      </c>
      <c r="I29" s="16">
        <v>0</v>
      </c>
      <c r="J29" s="17">
        <v>0</v>
      </c>
      <c r="K29" s="28">
        <v>0</v>
      </c>
      <c r="L29" s="56">
        <f>SUM(D29:D33)</f>
        <v>21</v>
      </c>
      <c r="M29" s="56"/>
    </row>
    <row r="30" spans="1:13" x14ac:dyDescent="0.85">
      <c r="A30" s="59"/>
      <c r="B30" s="68"/>
      <c r="C30" s="15" t="s">
        <v>43</v>
      </c>
      <c r="D30" s="16">
        <v>4</v>
      </c>
      <c r="E30" s="16">
        <v>4</v>
      </c>
      <c r="F30" s="16">
        <v>4</v>
      </c>
      <c r="G30" s="16">
        <v>4</v>
      </c>
      <c r="H30" s="16">
        <v>4</v>
      </c>
      <c r="I30" s="16">
        <v>4</v>
      </c>
      <c r="J30" s="20">
        <v>0</v>
      </c>
      <c r="K30" s="28">
        <v>0</v>
      </c>
      <c r="L30" s="56"/>
      <c r="M30" s="56"/>
    </row>
    <row r="31" spans="1:13" x14ac:dyDescent="0.85">
      <c r="A31" s="59"/>
      <c r="B31" s="68"/>
      <c r="C31" s="21" t="s">
        <v>44</v>
      </c>
      <c r="D31" s="16">
        <v>10</v>
      </c>
      <c r="E31" s="16">
        <v>10</v>
      </c>
      <c r="F31" s="16">
        <v>10</v>
      </c>
      <c r="G31" s="16">
        <v>10</v>
      </c>
      <c r="H31" s="16">
        <v>10</v>
      </c>
      <c r="I31" s="16">
        <v>10</v>
      </c>
      <c r="J31" s="20">
        <v>0</v>
      </c>
      <c r="K31" s="28">
        <v>0</v>
      </c>
      <c r="L31" s="56"/>
      <c r="M31" s="56"/>
    </row>
    <row r="32" spans="1:13" x14ac:dyDescent="0.85">
      <c r="A32" s="59"/>
      <c r="B32" s="68"/>
      <c r="C32" s="15" t="s">
        <v>12</v>
      </c>
      <c r="D32" s="16">
        <v>2</v>
      </c>
      <c r="E32" s="16">
        <v>2</v>
      </c>
      <c r="F32" s="16">
        <v>2</v>
      </c>
      <c r="G32" s="16">
        <v>0</v>
      </c>
      <c r="H32" s="16">
        <v>0</v>
      </c>
      <c r="I32" s="16">
        <v>0</v>
      </c>
      <c r="J32" s="20">
        <v>0</v>
      </c>
      <c r="K32" s="28">
        <v>0</v>
      </c>
      <c r="L32" s="56"/>
      <c r="M32" s="56"/>
    </row>
    <row r="33" spans="1:13" x14ac:dyDescent="0.85">
      <c r="A33" s="59"/>
      <c r="B33" s="68"/>
      <c r="C33" s="15" t="s">
        <v>13</v>
      </c>
      <c r="D33" s="13">
        <v>1</v>
      </c>
      <c r="E33" s="13">
        <v>1</v>
      </c>
      <c r="F33" s="13">
        <v>1</v>
      </c>
      <c r="G33" s="13">
        <v>0</v>
      </c>
      <c r="H33" s="13">
        <v>0</v>
      </c>
      <c r="I33" s="13">
        <v>0</v>
      </c>
      <c r="J33" s="20">
        <v>0</v>
      </c>
      <c r="K33" s="28">
        <v>0</v>
      </c>
      <c r="L33" s="56"/>
      <c r="M33" s="56"/>
    </row>
    <row r="34" spans="1:13" x14ac:dyDescent="0.85">
      <c r="A34" s="38"/>
      <c r="B34" s="11"/>
      <c r="C34" s="9"/>
      <c r="D34" s="12" t="s">
        <v>6</v>
      </c>
      <c r="E34" s="10">
        <f>SUM(E29:E33)</f>
        <v>21</v>
      </c>
      <c r="F34" s="10">
        <f t="shared" ref="F34:I34" si="3">SUM(F29:F33)</f>
        <v>21</v>
      </c>
      <c r="G34" s="10">
        <f t="shared" si="3"/>
        <v>18</v>
      </c>
      <c r="H34" s="10">
        <f t="shared" si="3"/>
        <v>18</v>
      </c>
      <c r="I34" s="10">
        <f t="shared" si="3"/>
        <v>14</v>
      </c>
      <c r="J34" s="10">
        <f>SUM(J29:J33)</f>
        <v>0</v>
      </c>
      <c r="K34" s="10">
        <v>0</v>
      </c>
      <c r="L34" s="61"/>
      <c r="M34" s="61"/>
    </row>
    <row r="35" spans="1:13" ht="36" customHeight="1" x14ac:dyDescent="0.85">
      <c r="A35" s="71">
        <v>1</v>
      </c>
      <c r="B35" s="71" t="s">
        <v>15</v>
      </c>
      <c r="C35" s="31" t="s">
        <v>16</v>
      </c>
      <c r="D35" s="19">
        <v>3</v>
      </c>
      <c r="E35" s="19">
        <v>3</v>
      </c>
      <c r="F35" s="19">
        <v>3</v>
      </c>
      <c r="G35" s="19">
        <v>3</v>
      </c>
      <c r="H35" s="19">
        <v>3</v>
      </c>
      <c r="I35" s="19">
        <v>0</v>
      </c>
      <c r="J35" s="46">
        <v>0</v>
      </c>
      <c r="K35" s="28">
        <v>0</v>
      </c>
      <c r="L35" s="74">
        <f>SUM(D35:D40)</f>
        <v>18</v>
      </c>
      <c r="M35" s="75"/>
    </row>
    <row r="36" spans="1:13" ht="43.05" customHeight="1" x14ac:dyDescent="0.85">
      <c r="A36" s="72"/>
      <c r="B36" s="72"/>
      <c r="C36" s="32" t="s">
        <v>36</v>
      </c>
      <c r="D36" s="16">
        <v>3</v>
      </c>
      <c r="E36" s="16">
        <v>3</v>
      </c>
      <c r="F36" s="16">
        <v>3</v>
      </c>
      <c r="G36" s="16">
        <v>3</v>
      </c>
      <c r="H36" s="16">
        <v>3</v>
      </c>
      <c r="I36" s="16">
        <v>3</v>
      </c>
      <c r="J36" s="17">
        <v>0</v>
      </c>
      <c r="K36" s="28">
        <v>0</v>
      </c>
      <c r="L36" s="76"/>
      <c r="M36" s="77"/>
    </row>
    <row r="37" spans="1:13" ht="30.45" customHeight="1" x14ac:dyDescent="0.85">
      <c r="A37" s="72"/>
      <c r="B37" s="72"/>
      <c r="C37" s="32" t="s">
        <v>37</v>
      </c>
      <c r="D37" s="16">
        <v>3</v>
      </c>
      <c r="E37" s="16">
        <v>3</v>
      </c>
      <c r="F37" s="16">
        <v>3</v>
      </c>
      <c r="G37" s="16">
        <v>3</v>
      </c>
      <c r="H37" s="16">
        <v>3</v>
      </c>
      <c r="I37" s="16">
        <v>3</v>
      </c>
      <c r="J37" s="17">
        <v>0</v>
      </c>
      <c r="K37" s="28">
        <v>0</v>
      </c>
      <c r="L37" s="76"/>
      <c r="M37" s="77"/>
    </row>
    <row r="38" spans="1:13" x14ac:dyDescent="0.85">
      <c r="A38" s="72"/>
      <c r="B38" s="72"/>
      <c r="C38" s="32" t="s">
        <v>38</v>
      </c>
      <c r="D38" s="16">
        <v>2</v>
      </c>
      <c r="E38" s="16">
        <v>2</v>
      </c>
      <c r="F38" s="16">
        <v>2</v>
      </c>
      <c r="G38" s="16">
        <v>2</v>
      </c>
      <c r="H38" s="16">
        <v>2</v>
      </c>
      <c r="I38" s="16">
        <v>2</v>
      </c>
      <c r="J38" s="17">
        <v>0</v>
      </c>
      <c r="K38" s="28">
        <v>0</v>
      </c>
      <c r="L38" s="76"/>
      <c r="M38" s="77"/>
    </row>
    <row r="39" spans="1:13" x14ac:dyDescent="0.85">
      <c r="A39" s="72"/>
      <c r="B39" s="72"/>
      <c r="C39" s="33" t="s">
        <v>39</v>
      </c>
      <c r="D39" s="13">
        <v>3</v>
      </c>
      <c r="E39" s="13">
        <v>3</v>
      </c>
      <c r="F39" s="13">
        <v>3</v>
      </c>
      <c r="G39" s="13">
        <v>3</v>
      </c>
      <c r="H39" s="13">
        <v>3</v>
      </c>
      <c r="I39" s="13">
        <v>3</v>
      </c>
      <c r="J39" s="20">
        <v>0</v>
      </c>
      <c r="K39" s="28">
        <v>0</v>
      </c>
      <c r="L39" s="76"/>
      <c r="M39" s="77"/>
    </row>
    <row r="40" spans="1:13" x14ac:dyDescent="0.85">
      <c r="A40" s="73"/>
      <c r="B40" s="73"/>
      <c r="C40" s="34" t="s">
        <v>40</v>
      </c>
      <c r="D40" s="22">
        <v>4</v>
      </c>
      <c r="E40" s="13">
        <v>4</v>
      </c>
      <c r="F40" s="13">
        <v>4</v>
      </c>
      <c r="G40" s="13">
        <v>4</v>
      </c>
      <c r="H40" s="13">
        <v>4</v>
      </c>
      <c r="I40" s="13">
        <v>4</v>
      </c>
      <c r="J40" s="20">
        <v>0</v>
      </c>
      <c r="K40" s="28">
        <v>0</v>
      </c>
      <c r="L40" s="78"/>
      <c r="M40" s="79"/>
    </row>
    <row r="41" spans="1:13" x14ac:dyDescent="0.85">
      <c r="A41" s="39"/>
      <c r="B41" s="8"/>
      <c r="C41" s="9"/>
      <c r="D41" s="12" t="s">
        <v>6</v>
      </c>
      <c r="E41" s="10">
        <f>SUM(E35:E40)</f>
        <v>18</v>
      </c>
      <c r="F41" s="10">
        <f t="shared" ref="F41:J41" si="4">SUM(F35:F40)</f>
        <v>18</v>
      </c>
      <c r="G41" s="10">
        <f t="shared" si="4"/>
        <v>18</v>
      </c>
      <c r="H41" s="10">
        <f t="shared" si="4"/>
        <v>18</v>
      </c>
      <c r="I41" s="10">
        <f t="shared" si="4"/>
        <v>15</v>
      </c>
      <c r="J41" s="10">
        <f t="shared" si="4"/>
        <v>0</v>
      </c>
      <c r="K41" s="10">
        <v>0</v>
      </c>
      <c r="L41" s="61"/>
      <c r="M41" s="61"/>
    </row>
    <row r="42" spans="1:13" x14ac:dyDescent="0.85">
      <c r="A42" s="58">
        <v>1</v>
      </c>
      <c r="B42" s="58" t="s">
        <v>17</v>
      </c>
      <c r="C42" s="15" t="s">
        <v>18</v>
      </c>
      <c r="D42" s="16">
        <v>2</v>
      </c>
      <c r="E42" s="16">
        <v>2</v>
      </c>
      <c r="F42" s="16">
        <v>2</v>
      </c>
      <c r="G42" s="16">
        <v>2</v>
      </c>
      <c r="H42" s="16">
        <v>2</v>
      </c>
      <c r="I42" s="16">
        <v>2</v>
      </c>
      <c r="J42" s="16">
        <v>2</v>
      </c>
      <c r="K42" s="28">
        <v>0</v>
      </c>
      <c r="L42" s="74">
        <f>SUM(D42:D46)</f>
        <v>19</v>
      </c>
      <c r="M42" s="75"/>
    </row>
    <row r="43" spans="1:13" x14ac:dyDescent="0.85">
      <c r="A43" s="59"/>
      <c r="B43" s="59"/>
      <c r="C43" s="15" t="s">
        <v>19</v>
      </c>
      <c r="D43" s="16">
        <v>8</v>
      </c>
      <c r="E43" s="16">
        <v>8</v>
      </c>
      <c r="F43" s="16">
        <v>8</v>
      </c>
      <c r="G43" s="16">
        <v>8</v>
      </c>
      <c r="H43" s="16">
        <v>8</v>
      </c>
      <c r="I43" s="16">
        <v>8</v>
      </c>
      <c r="J43" s="16">
        <v>8</v>
      </c>
      <c r="K43" s="28">
        <v>0</v>
      </c>
      <c r="L43" s="76"/>
      <c r="M43" s="77"/>
    </row>
    <row r="44" spans="1:13" x14ac:dyDescent="0.85">
      <c r="A44" s="59"/>
      <c r="B44" s="59"/>
      <c r="C44" s="15" t="s">
        <v>52</v>
      </c>
      <c r="D44" s="16">
        <v>4</v>
      </c>
      <c r="E44" s="16">
        <v>4</v>
      </c>
      <c r="F44" s="16">
        <v>4</v>
      </c>
      <c r="G44" s="16">
        <v>4</v>
      </c>
      <c r="H44" s="16">
        <v>4</v>
      </c>
      <c r="I44" s="16">
        <v>4</v>
      </c>
      <c r="J44" s="16">
        <v>4</v>
      </c>
      <c r="K44" s="28">
        <v>0</v>
      </c>
      <c r="L44" s="76"/>
      <c r="M44" s="77"/>
    </row>
    <row r="45" spans="1:13" ht="25.95" customHeight="1" x14ac:dyDescent="0.85">
      <c r="A45" s="59"/>
      <c r="B45" s="59"/>
      <c r="C45" s="15" t="s">
        <v>53</v>
      </c>
      <c r="D45" s="16">
        <v>3</v>
      </c>
      <c r="E45" s="16">
        <v>3</v>
      </c>
      <c r="F45" s="16">
        <v>3</v>
      </c>
      <c r="G45" s="16">
        <v>3</v>
      </c>
      <c r="H45" s="16">
        <v>3</v>
      </c>
      <c r="I45" s="16">
        <v>3</v>
      </c>
      <c r="J45" s="16">
        <v>3</v>
      </c>
      <c r="K45" s="28">
        <v>0</v>
      </c>
      <c r="L45" s="76"/>
      <c r="M45" s="77"/>
    </row>
    <row r="46" spans="1:13" ht="81" customHeight="1" x14ac:dyDescent="0.85">
      <c r="A46" s="60"/>
      <c r="B46" s="60"/>
      <c r="C46" s="14" t="s">
        <v>54</v>
      </c>
      <c r="D46" s="13">
        <v>2</v>
      </c>
      <c r="E46" s="13">
        <v>2</v>
      </c>
      <c r="F46" s="13">
        <v>2</v>
      </c>
      <c r="G46" s="13">
        <v>2</v>
      </c>
      <c r="H46" s="13">
        <v>2</v>
      </c>
      <c r="I46" s="13">
        <v>2</v>
      </c>
      <c r="J46" s="13">
        <v>2</v>
      </c>
      <c r="K46" s="28">
        <v>0</v>
      </c>
      <c r="L46" s="78"/>
      <c r="M46" s="79"/>
    </row>
    <row r="47" spans="1:13" x14ac:dyDescent="0.85">
      <c r="A47" s="5"/>
      <c r="B47" s="5"/>
      <c r="C47" s="9"/>
      <c r="D47" s="12" t="s">
        <v>6</v>
      </c>
      <c r="E47" s="10">
        <v>19</v>
      </c>
      <c r="F47" s="10">
        <v>19</v>
      </c>
      <c r="G47" s="10">
        <v>19</v>
      </c>
      <c r="H47" s="10">
        <v>19</v>
      </c>
      <c r="I47" s="10">
        <v>19</v>
      </c>
      <c r="J47" s="10">
        <v>19</v>
      </c>
      <c r="K47" s="10">
        <v>0</v>
      </c>
      <c r="L47" s="61"/>
      <c r="M47" s="61"/>
    </row>
    <row r="48" spans="1:13" x14ac:dyDescent="0.85">
      <c r="A48" s="58">
        <v>1</v>
      </c>
      <c r="B48" s="58" t="s">
        <v>20</v>
      </c>
      <c r="C48" s="15" t="s">
        <v>48</v>
      </c>
      <c r="D48" s="16">
        <v>5</v>
      </c>
      <c r="E48" s="16">
        <v>5</v>
      </c>
      <c r="F48" s="16">
        <v>5</v>
      </c>
      <c r="G48" s="16">
        <v>5</v>
      </c>
      <c r="H48" s="16">
        <v>5</v>
      </c>
      <c r="I48" s="16">
        <v>5</v>
      </c>
      <c r="J48" s="17">
        <v>5</v>
      </c>
      <c r="K48" s="28">
        <v>0</v>
      </c>
      <c r="L48" s="74">
        <f>SUM(D48:D51)</f>
        <v>16</v>
      </c>
      <c r="M48" s="75"/>
    </row>
    <row r="49" spans="1:13" x14ac:dyDescent="0.85">
      <c r="A49" s="59"/>
      <c r="B49" s="59"/>
      <c r="C49" s="15" t="s">
        <v>49</v>
      </c>
      <c r="D49" s="16">
        <v>5</v>
      </c>
      <c r="E49" s="16">
        <v>5</v>
      </c>
      <c r="F49" s="16">
        <v>5</v>
      </c>
      <c r="G49" s="16">
        <v>5</v>
      </c>
      <c r="H49" s="16">
        <v>5</v>
      </c>
      <c r="I49" s="16">
        <v>5</v>
      </c>
      <c r="J49" s="17">
        <v>5</v>
      </c>
      <c r="K49" s="28">
        <v>0</v>
      </c>
      <c r="L49" s="76"/>
      <c r="M49" s="77"/>
    </row>
    <row r="50" spans="1:13" ht="39" customHeight="1" x14ac:dyDescent="0.85">
      <c r="A50" s="59"/>
      <c r="B50" s="59"/>
      <c r="C50" s="15" t="s">
        <v>50</v>
      </c>
      <c r="D50" s="16">
        <v>3</v>
      </c>
      <c r="E50" s="16">
        <v>3</v>
      </c>
      <c r="F50" s="16">
        <v>3</v>
      </c>
      <c r="G50" s="16">
        <v>3</v>
      </c>
      <c r="H50" s="16">
        <v>3</v>
      </c>
      <c r="I50" s="16">
        <v>3</v>
      </c>
      <c r="J50" s="17">
        <v>3</v>
      </c>
      <c r="K50" s="28">
        <v>0</v>
      </c>
      <c r="L50" s="76"/>
      <c r="M50" s="77"/>
    </row>
    <row r="51" spans="1:13" ht="27" customHeight="1" x14ac:dyDescent="0.85">
      <c r="A51" s="59"/>
      <c r="B51" s="59"/>
      <c r="C51" s="15" t="s">
        <v>51</v>
      </c>
      <c r="D51" s="16">
        <v>3</v>
      </c>
      <c r="E51" s="16">
        <v>3</v>
      </c>
      <c r="F51" s="16">
        <v>3</v>
      </c>
      <c r="G51" s="16">
        <v>3</v>
      </c>
      <c r="H51" s="16">
        <v>3</v>
      </c>
      <c r="I51" s="16">
        <v>3</v>
      </c>
      <c r="J51" s="17">
        <v>3</v>
      </c>
      <c r="K51" s="28">
        <v>0</v>
      </c>
      <c r="L51" s="78"/>
      <c r="M51" s="79"/>
    </row>
    <row r="52" spans="1:13" ht="37.049999999999997" customHeight="1" x14ac:dyDescent="0.85">
      <c r="A52" s="5"/>
      <c r="B52" s="5"/>
      <c r="C52" s="9"/>
      <c r="D52" s="12" t="s">
        <v>6</v>
      </c>
      <c r="E52" s="10">
        <f t="shared" ref="E52:J52" si="5">SUM(E48:E51)</f>
        <v>16</v>
      </c>
      <c r="F52" s="10">
        <f t="shared" si="5"/>
        <v>16</v>
      </c>
      <c r="G52" s="10">
        <f t="shared" si="5"/>
        <v>16</v>
      </c>
      <c r="H52" s="10">
        <f t="shared" si="5"/>
        <v>16</v>
      </c>
      <c r="I52" s="10">
        <f t="shared" si="5"/>
        <v>16</v>
      </c>
      <c r="J52" s="10">
        <f t="shared" si="5"/>
        <v>16</v>
      </c>
      <c r="K52" s="10">
        <v>0</v>
      </c>
      <c r="L52" s="47"/>
      <c r="M52" s="47"/>
    </row>
    <row r="55" spans="1:13" ht="27" customHeight="1" x14ac:dyDescent="0.85"/>
    <row r="56" spans="1:13" x14ac:dyDescent="0.85"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3" ht="25.95" customHeight="1" x14ac:dyDescent="0.85">
      <c r="B57" s="80" t="s">
        <v>7</v>
      </c>
      <c r="C57" s="80"/>
      <c r="D57" s="80"/>
      <c r="E57" s="42"/>
      <c r="F57" s="42"/>
      <c r="G57" s="42"/>
      <c r="H57" s="42"/>
      <c r="I57" s="42"/>
      <c r="J57" s="42"/>
      <c r="K57" s="42"/>
      <c r="L57"/>
    </row>
    <row r="58" spans="1:13" ht="25.95" customHeight="1" x14ac:dyDescent="0.85">
      <c r="B58" s="80"/>
      <c r="C58" s="80"/>
      <c r="D58" s="80"/>
      <c r="E58" s="42"/>
      <c r="F58" s="42"/>
      <c r="G58" s="42"/>
      <c r="H58" s="42"/>
      <c r="I58" s="42"/>
      <c r="J58"/>
      <c r="K58"/>
      <c r="L58"/>
    </row>
    <row r="59" spans="1:13" x14ac:dyDescent="0.85">
      <c r="B59" s="42"/>
      <c r="C59" s="42"/>
      <c r="D59" s="42"/>
      <c r="E59" s="42"/>
      <c r="G59" s="26" t="s">
        <v>8</v>
      </c>
      <c r="H59" s="54" t="s">
        <v>6</v>
      </c>
      <c r="I59" s="55"/>
      <c r="J59" s="42"/>
      <c r="K59" s="42"/>
      <c r="L59"/>
    </row>
    <row r="60" spans="1:13" x14ac:dyDescent="0.85">
      <c r="B60" s="42"/>
      <c r="C60" s="42"/>
      <c r="D60" s="42"/>
      <c r="G60" s="27">
        <v>1</v>
      </c>
      <c r="H60" s="52">
        <v>9</v>
      </c>
      <c r="I60" s="53"/>
      <c r="J60" s="42"/>
      <c r="K60" s="42"/>
      <c r="L60"/>
    </row>
    <row r="61" spans="1:13" ht="27" customHeight="1" x14ac:dyDescent="0.85">
      <c r="B61" s="42"/>
      <c r="C61" s="42"/>
      <c r="D61" s="42"/>
      <c r="G61" s="27">
        <v>2</v>
      </c>
      <c r="H61" s="52">
        <v>6</v>
      </c>
      <c r="I61" s="53"/>
    </row>
    <row r="62" spans="1:13" x14ac:dyDescent="0.85">
      <c r="B62" s="42"/>
      <c r="C62" s="42"/>
      <c r="D62" s="42"/>
      <c r="G62" s="27">
        <v>3</v>
      </c>
      <c r="H62" s="52">
        <v>4</v>
      </c>
      <c r="I62" s="53"/>
    </row>
    <row r="63" spans="1:13" x14ac:dyDescent="0.85">
      <c r="B63" s="42"/>
      <c r="C63" s="42"/>
      <c r="D63" s="42"/>
      <c r="G63" s="27">
        <v>4</v>
      </c>
      <c r="H63" s="52">
        <v>0</v>
      </c>
      <c r="I63" s="53"/>
    </row>
    <row r="64" spans="1:13" x14ac:dyDescent="0.85">
      <c r="B64" s="42"/>
      <c r="C64" s="42"/>
      <c r="D64" s="42"/>
      <c r="G64" s="27">
        <v>5</v>
      </c>
      <c r="H64" s="52">
        <v>0</v>
      </c>
      <c r="I64" s="53"/>
    </row>
    <row r="65" spans="2:9" x14ac:dyDescent="0.85">
      <c r="B65" s="42"/>
      <c r="C65" s="42"/>
      <c r="D65" s="42"/>
      <c r="G65" s="27">
        <v>6</v>
      </c>
      <c r="H65" s="52">
        <v>0</v>
      </c>
      <c r="I65" s="53"/>
    </row>
    <row r="66" spans="2:9" x14ac:dyDescent="0.85">
      <c r="B66" s="42"/>
      <c r="C66" s="42"/>
      <c r="D66" s="42"/>
      <c r="G66" s="27">
        <v>7</v>
      </c>
      <c r="H66" s="52">
        <v>0</v>
      </c>
      <c r="I66" s="53"/>
    </row>
    <row r="67" spans="2:9" x14ac:dyDescent="0.85">
      <c r="B67" s="42"/>
      <c r="C67" s="42"/>
      <c r="D67" s="42"/>
      <c r="E67" s="42"/>
      <c r="F67" s="42"/>
      <c r="G67" s="42"/>
      <c r="H67"/>
    </row>
    <row r="68" spans="2:9" x14ac:dyDescent="0.85">
      <c r="B68" s="42"/>
      <c r="C68" s="42"/>
      <c r="D68" s="42"/>
      <c r="E68" s="42"/>
      <c r="F68" s="42"/>
      <c r="G68" s="42"/>
      <c r="H68"/>
    </row>
    <row r="69" spans="2:9" x14ac:dyDescent="0.85">
      <c r="B69" s="42"/>
      <c r="C69" s="42"/>
      <c r="D69" s="42"/>
      <c r="E69" s="42"/>
      <c r="F69" s="42"/>
      <c r="G69" s="42"/>
      <c r="H69"/>
    </row>
    <row r="70" spans="2:9" x14ac:dyDescent="0.85">
      <c r="B70" s="42"/>
      <c r="C70" s="42"/>
      <c r="D70" s="42"/>
      <c r="E70" s="42"/>
      <c r="F70" s="42"/>
      <c r="G70" s="42"/>
      <c r="H70" s="42"/>
    </row>
    <row r="71" spans="2:9" ht="27" customHeight="1" x14ac:dyDescent="0.85"/>
    <row r="76" spans="2:9" x14ac:dyDescent="0.85">
      <c r="G76" s="26" t="s">
        <v>8</v>
      </c>
      <c r="H76" s="54" t="s">
        <v>6</v>
      </c>
      <c r="I76" s="55"/>
    </row>
    <row r="77" spans="2:9" x14ac:dyDescent="0.85">
      <c r="G77" s="27">
        <v>1</v>
      </c>
      <c r="H77" s="52">
        <v>22</v>
      </c>
      <c r="I77" s="53"/>
    </row>
    <row r="78" spans="2:9" x14ac:dyDescent="0.85">
      <c r="G78" s="27">
        <v>2</v>
      </c>
      <c r="H78" s="52">
        <v>20</v>
      </c>
      <c r="I78" s="53"/>
    </row>
    <row r="79" spans="2:9" x14ac:dyDescent="0.85">
      <c r="G79" s="27">
        <v>3</v>
      </c>
      <c r="H79" s="52">
        <v>19</v>
      </c>
      <c r="I79" s="53"/>
    </row>
    <row r="80" spans="2:9" x14ac:dyDescent="0.85">
      <c r="G80" s="27">
        <v>4</v>
      </c>
      <c r="H80" s="52">
        <v>11</v>
      </c>
      <c r="I80" s="53"/>
    </row>
    <row r="81" spans="7:24" x14ac:dyDescent="0.85">
      <c r="G81" s="27">
        <v>5</v>
      </c>
      <c r="H81" s="52">
        <v>5</v>
      </c>
      <c r="I81" s="53"/>
    </row>
    <row r="82" spans="7:24" x14ac:dyDescent="0.85">
      <c r="G82" s="27">
        <v>6</v>
      </c>
      <c r="H82" s="52">
        <v>0</v>
      </c>
      <c r="I82" s="53"/>
    </row>
    <row r="83" spans="7:24" x14ac:dyDescent="0.85">
      <c r="G83" s="27">
        <v>7</v>
      </c>
      <c r="H83" s="52">
        <v>0</v>
      </c>
      <c r="I83" s="53"/>
    </row>
    <row r="87" spans="7:24" ht="25.95" customHeight="1" x14ac:dyDescent="0.85"/>
    <row r="88" spans="7:24" ht="25.95" customHeight="1" x14ac:dyDescent="0.85"/>
    <row r="89" spans="7:24" x14ac:dyDescent="0.85">
      <c r="P89" s="41"/>
      <c r="Q89" s="41"/>
      <c r="R89" s="41"/>
      <c r="S89" s="41"/>
      <c r="T89" s="41"/>
      <c r="U89" s="41"/>
      <c r="V89" s="41"/>
      <c r="W89" s="41"/>
      <c r="X89" s="41"/>
    </row>
    <row r="90" spans="7:24" x14ac:dyDescent="0.85">
      <c r="P90" s="41"/>
      <c r="Q90" s="41"/>
      <c r="R90" s="41"/>
      <c r="S90" s="41"/>
      <c r="T90" s="41"/>
      <c r="U90" s="41"/>
      <c r="V90" s="41"/>
      <c r="W90" s="41"/>
      <c r="X90" s="41"/>
    </row>
    <row r="91" spans="7:24" x14ac:dyDescent="0.85">
      <c r="P91" s="41"/>
      <c r="Q91" s="41"/>
      <c r="R91" s="41"/>
      <c r="S91" s="41"/>
      <c r="T91" s="41"/>
      <c r="U91" s="41"/>
      <c r="V91" s="41"/>
      <c r="W91" s="41"/>
      <c r="X91" s="41"/>
    </row>
    <row r="92" spans="7:24" x14ac:dyDescent="0.85">
      <c r="G92" s="26" t="s">
        <v>8</v>
      </c>
      <c r="H92" s="54" t="s">
        <v>6</v>
      </c>
      <c r="I92" s="55"/>
      <c r="P92" s="41"/>
      <c r="Q92" s="41"/>
      <c r="R92" s="41"/>
      <c r="S92" s="41"/>
      <c r="T92" s="41"/>
      <c r="U92" s="41"/>
      <c r="V92" s="41"/>
      <c r="W92" s="41"/>
      <c r="X92" s="41"/>
    </row>
    <row r="93" spans="7:24" x14ac:dyDescent="0.85">
      <c r="G93" s="27">
        <v>1</v>
      </c>
      <c r="H93" s="52">
        <v>13</v>
      </c>
      <c r="I93" s="53"/>
      <c r="P93" s="41"/>
      <c r="Q93" s="41"/>
      <c r="R93" s="41"/>
      <c r="S93" s="41"/>
      <c r="T93" s="41"/>
      <c r="U93" s="41"/>
      <c r="V93" s="41"/>
      <c r="W93" s="41"/>
      <c r="X93" s="41"/>
    </row>
    <row r="94" spans="7:24" x14ac:dyDescent="0.85">
      <c r="G94" s="27">
        <v>2</v>
      </c>
      <c r="H94" s="52">
        <v>13</v>
      </c>
      <c r="I94" s="53"/>
      <c r="P94" s="41"/>
      <c r="Q94" s="41"/>
      <c r="R94" s="41"/>
      <c r="S94" s="41"/>
      <c r="T94" s="41"/>
      <c r="U94" s="41"/>
      <c r="V94" s="41"/>
      <c r="W94" s="41"/>
      <c r="X94" s="41"/>
    </row>
    <row r="95" spans="7:24" x14ac:dyDescent="0.85">
      <c r="G95" s="27">
        <v>3</v>
      </c>
      <c r="H95" s="52">
        <v>10</v>
      </c>
      <c r="I95" s="53"/>
      <c r="P95" s="41"/>
      <c r="Q95" s="41"/>
      <c r="R95" s="41"/>
      <c r="S95" s="41"/>
      <c r="T95" s="41"/>
      <c r="U95" s="41"/>
      <c r="V95" s="41"/>
      <c r="W95" s="41"/>
      <c r="X95" s="41"/>
    </row>
    <row r="96" spans="7:24" x14ac:dyDescent="0.85">
      <c r="G96" s="27">
        <v>4</v>
      </c>
      <c r="H96" s="52">
        <v>10</v>
      </c>
      <c r="I96" s="53"/>
      <c r="P96" s="41"/>
      <c r="Q96" s="41"/>
      <c r="R96" s="41"/>
      <c r="S96" s="41"/>
      <c r="T96" s="41"/>
      <c r="U96" s="41"/>
      <c r="V96" s="41"/>
      <c r="W96" s="41"/>
      <c r="X96" s="41"/>
    </row>
    <row r="97" spans="7:27" x14ac:dyDescent="0.85">
      <c r="G97" s="27">
        <v>5</v>
      </c>
      <c r="H97" s="52">
        <v>0</v>
      </c>
      <c r="I97" s="53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7:27" x14ac:dyDescent="0.85">
      <c r="G98" s="27">
        <v>6</v>
      </c>
      <c r="H98" s="52">
        <v>0</v>
      </c>
      <c r="I98" s="53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7:27" x14ac:dyDescent="0.85">
      <c r="G99" s="27">
        <v>7</v>
      </c>
      <c r="H99" s="52">
        <v>0</v>
      </c>
      <c r="I99" s="53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spans="7:27" x14ac:dyDescent="0.85"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7:27" x14ac:dyDescent="0.85">
      <c r="U101" s="41"/>
      <c r="V101" s="41"/>
      <c r="W101" s="41"/>
      <c r="X101" s="41"/>
      <c r="Y101" s="41"/>
      <c r="Z101" s="41"/>
      <c r="AA101" s="41"/>
    </row>
    <row r="102" spans="7:27" x14ac:dyDescent="0.85">
      <c r="U102" s="41"/>
      <c r="V102" s="41"/>
      <c r="W102" s="41"/>
      <c r="X102" s="41"/>
      <c r="Y102" s="41"/>
      <c r="Z102" s="41"/>
      <c r="AA102" s="41"/>
    </row>
    <row r="103" spans="7:27" x14ac:dyDescent="0.85">
      <c r="U103" s="41"/>
      <c r="V103" s="41"/>
      <c r="W103" s="41"/>
      <c r="X103" s="41"/>
      <c r="Y103" s="41"/>
      <c r="Z103" s="41"/>
      <c r="AA103" s="41"/>
    </row>
    <row r="108" spans="7:27" x14ac:dyDescent="0.85">
      <c r="G108" s="26" t="s">
        <v>8</v>
      </c>
      <c r="H108" s="54" t="s">
        <v>6</v>
      </c>
      <c r="I108" s="55"/>
    </row>
    <row r="109" spans="7:27" x14ac:dyDescent="0.85">
      <c r="G109" s="27">
        <v>1</v>
      </c>
      <c r="H109" s="52">
        <v>21</v>
      </c>
      <c r="I109" s="53"/>
    </row>
    <row r="110" spans="7:27" x14ac:dyDescent="0.85">
      <c r="G110" s="27">
        <v>2</v>
      </c>
      <c r="H110" s="52">
        <v>21</v>
      </c>
      <c r="I110" s="53"/>
    </row>
    <row r="111" spans="7:27" x14ac:dyDescent="0.85">
      <c r="G111" s="27">
        <v>3</v>
      </c>
      <c r="H111" s="52">
        <v>18</v>
      </c>
      <c r="I111" s="53"/>
    </row>
    <row r="112" spans="7:27" x14ac:dyDescent="0.85">
      <c r="G112" s="27">
        <v>4</v>
      </c>
      <c r="H112" s="52">
        <v>18</v>
      </c>
      <c r="I112" s="53"/>
    </row>
    <row r="113" spans="7:9" x14ac:dyDescent="0.85">
      <c r="G113" s="27">
        <v>5</v>
      </c>
      <c r="H113" s="52">
        <v>14</v>
      </c>
      <c r="I113" s="53"/>
    </row>
    <row r="114" spans="7:9" x14ac:dyDescent="0.85">
      <c r="G114" s="27">
        <v>6</v>
      </c>
      <c r="H114" s="52">
        <v>0</v>
      </c>
      <c r="I114" s="53"/>
    </row>
    <row r="115" spans="7:9" x14ac:dyDescent="0.85">
      <c r="G115" s="27">
        <v>7</v>
      </c>
      <c r="H115" s="52">
        <v>0</v>
      </c>
      <c r="I115" s="53"/>
    </row>
    <row r="124" spans="7:9" x14ac:dyDescent="0.85">
      <c r="G124" s="26" t="s">
        <v>8</v>
      </c>
      <c r="H124" s="54" t="s">
        <v>6</v>
      </c>
      <c r="I124" s="55"/>
    </row>
    <row r="125" spans="7:9" x14ac:dyDescent="0.85">
      <c r="G125" s="27">
        <v>1</v>
      </c>
      <c r="H125" s="52">
        <v>18</v>
      </c>
      <c r="I125" s="53"/>
    </row>
    <row r="126" spans="7:9" x14ac:dyDescent="0.85">
      <c r="G126" s="27">
        <v>2</v>
      </c>
      <c r="H126" s="52">
        <v>18</v>
      </c>
      <c r="I126" s="53"/>
    </row>
    <row r="127" spans="7:9" x14ac:dyDescent="0.85">
      <c r="G127" s="27">
        <v>3</v>
      </c>
      <c r="H127" s="52">
        <v>18</v>
      </c>
      <c r="I127" s="53"/>
    </row>
    <row r="128" spans="7:9" x14ac:dyDescent="0.85">
      <c r="G128" s="27">
        <v>4</v>
      </c>
      <c r="H128" s="52">
        <v>18</v>
      </c>
      <c r="I128" s="53"/>
    </row>
    <row r="129" spans="7:9" x14ac:dyDescent="0.85">
      <c r="G129" s="27">
        <v>5</v>
      </c>
      <c r="H129" s="52">
        <v>15</v>
      </c>
      <c r="I129" s="53"/>
    </row>
    <row r="130" spans="7:9" x14ac:dyDescent="0.85">
      <c r="G130" s="27">
        <v>6</v>
      </c>
      <c r="H130" s="52">
        <v>0</v>
      </c>
      <c r="I130" s="53"/>
    </row>
    <row r="131" spans="7:9" x14ac:dyDescent="0.85">
      <c r="G131" s="27">
        <v>7</v>
      </c>
      <c r="H131" s="52">
        <v>0</v>
      </c>
      <c r="I131" s="53"/>
    </row>
    <row r="141" spans="7:9" x14ac:dyDescent="0.85">
      <c r="G141" s="26" t="s">
        <v>8</v>
      </c>
      <c r="H141" s="54" t="s">
        <v>6</v>
      </c>
      <c r="I141" s="55"/>
    </row>
    <row r="142" spans="7:9" x14ac:dyDescent="0.85">
      <c r="G142" s="27">
        <v>1</v>
      </c>
      <c r="H142" s="52">
        <v>19</v>
      </c>
      <c r="I142" s="53"/>
    </row>
    <row r="143" spans="7:9" x14ac:dyDescent="0.85">
      <c r="G143" s="27">
        <v>2</v>
      </c>
      <c r="H143" s="52">
        <v>19</v>
      </c>
      <c r="I143" s="53"/>
    </row>
    <row r="144" spans="7:9" x14ac:dyDescent="0.85">
      <c r="G144" s="27">
        <v>3</v>
      </c>
      <c r="H144" s="52">
        <v>19</v>
      </c>
      <c r="I144" s="53"/>
    </row>
    <row r="145" spans="7:9" x14ac:dyDescent="0.85">
      <c r="G145" s="27">
        <v>4</v>
      </c>
      <c r="H145" s="52">
        <v>19</v>
      </c>
      <c r="I145" s="53"/>
    </row>
    <row r="146" spans="7:9" x14ac:dyDescent="0.85">
      <c r="G146" s="27">
        <v>5</v>
      </c>
      <c r="H146" s="52">
        <v>19</v>
      </c>
      <c r="I146" s="53"/>
    </row>
    <row r="147" spans="7:9" x14ac:dyDescent="0.85">
      <c r="G147" s="27">
        <v>6</v>
      </c>
      <c r="H147" s="52">
        <v>19</v>
      </c>
      <c r="I147" s="53"/>
    </row>
    <row r="148" spans="7:9" x14ac:dyDescent="0.85">
      <c r="G148" s="27">
        <v>7</v>
      </c>
      <c r="H148" s="52">
        <v>0</v>
      </c>
      <c r="I148" s="53"/>
    </row>
    <row r="159" spans="7:9" x14ac:dyDescent="0.85">
      <c r="G159" s="26" t="s">
        <v>8</v>
      </c>
      <c r="H159" s="54" t="s">
        <v>6</v>
      </c>
      <c r="I159" s="55"/>
    </row>
    <row r="160" spans="7:9" x14ac:dyDescent="0.85">
      <c r="G160" s="48">
        <v>1</v>
      </c>
      <c r="H160" s="52">
        <v>16</v>
      </c>
      <c r="I160" s="53"/>
    </row>
    <row r="161" spans="7:9" x14ac:dyDescent="0.85">
      <c r="G161" s="48">
        <v>2</v>
      </c>
      <c r="H161" s="52">
        <v>16</v>
      </c>
      <c r="I161" s="53"/>
    </row>
    <row r="162" spans="7:9" x14ac:dyDescent="0.85">
      <c r="G162" s="48">
        <v>3</v>
      </c>
      <c r="H162" s="52">
        <v>16</v>
      </c>
      <c r="I162" s="53"/>
    </row>
    <row r="163" spans="7:9" x14ac:dyDescent="0.85">
      <c r="G163" s="48">
        <v>4</v>
      </c>
      <c r="H163" s="52">
        <v>16</v>
      </c>
      <c r="I163" s="53"/>
    </row>
    <row r="164" spans="7:9" x14ac:dyDescent="0.85">
      <c r="G164" s="48">
        <v>5</v>
      </c>
      <c r="H164" s="52">
        <v>16</v>
      </c>
      <c r="I164" s="53"/>
    </row>
    <row r="165" spans="7:9" x14ac:dyDescent="0.85">
      <c r="G165" s="48">
        <v>6</v>
      </c>
      <c r="H165" s="52">
        <v>16</v>
      </c>
      <c r="I165" s="53"/>
    </row>
    <row r="166" spans="7:9" x14ac:dyDescent="0.85">
      <c r="G166" s="48">
        <v>6</v>
      </c>
      <c r="H166" s="52">
        <v>0</v>
      </c>
      <c r="I166" s="53"/>
    </row>
  </sheetData>
  <mergeCells count="94">
    <mergeCell ref="H165:I165"/>
    <mergeCell ref="H166:I166"/>
    <mergeCell ref="H146:I146"/>
    <mergeCell ref="H147:I147"/>
    <mergeCell ref="H148:I148"/>
    <mergeCell ref="H159:I159"/>
    <mergeCell ref="H162:I162"/>
    <mergeCell ref="H160:I160"/>
    <mergeCell ref="H161:I161"/>
    <mergeCell ref="H163:I163"/>
    <mergeCell ref="H164:I164"/>
    <mergeCell ref="H141:I141"/>
    <mergeCell ref="H142:I142"/>
    <mergeCell ref="H143:I143"/>
    <mergeCell ref="H144:I144"/>
    <mergeCell ref="H145:I145"/>
    <mergeCell ref="H66:I66"/>
    <mergeCell ref="H83:I83"/>
    <mergeCell ref="H99:I99"/>
    <mergeCell ref="H115:I115"/>
    <mergeCell ref="H131:I131"/>
    <mergeCell ref="H81:I81"/>
    <mergeCell ref="H82:I82"/>
    <mergeCell ref="H92:I92"/>
    <mergeCell ref="H93:I93"/>
    <mergeCell ref="H94:I94"/>
    <mergeCell ref="H76:I76"/>
    <mergeCell ref="H77:I77"/>
    <mergeCell ref="H78:I78"/>
    <mergeCell ref="H79:I79"/>
    <mergeCell ref="H80:I80"/>
    <mergeCell ref="H95:I95"/>
    <mergeCell ref="A1:L1"/>
    <mergeCell ref="E4:O4"/>
    <mergeCell ref="A4:A5"/>
    <mergeCell ref="B4:B5"/>
    <mergeCell ref="C4:C5"/>
    <mergeCell ref="D4:D5"/>
    <mergeCell ref="L5:M5"/>
    <mergeCell ref="H64:I64"/>
    <mergeCell ref="H65:I65"/>
    <mergeCell ref="H59:I59"/>
    <mergeCell ref="H60:I60"/>
    <mergeCell ref="H61:I61"/>
    <mergeCell ref="B57:D58"/>
    <mergeCell ref="L47:M47"/>
    <mergeCell ref="L41:M41"/>
    <mergeCell ref="L34:M34"/>
    <mergeCell ref="H62:I62"/>
    <mergeCell ref="L48:M51"/>
    <mergeCell ref="A48:A51"/>
    <mergeCell ref="A35:A40"/>
    <mergeCell ref="B35:B40"/>
    <mergeCell ref="L35:M40"/>
    <mergeCell ref="L42:M46"/>
    <mergeCell ref="B48:B51"/>
    <mergeCell ref="A12:A22"/>
    <mergeCell ref="B12:B22"/>
    <mergeCell ref="L6:M10"/>
    <mergeCell ref="B42:B46"/>
    <mergeCell ref="L28:M28"/>
    <mergeCell ref="A42:A46"/>
    <mergeCell ref="B6:B10"/>
    <mergeCell ref="L24:M27"/>
    <mergeCell ref="L29:M33"/>
    <mergeCell ref="A24:A27"/>
    <mergeCell ref="B24:B27"/>
    <mergeCell ref="A29:A33"/>
    <mergeCell ref="B29:B33"/>
    <mergeCell ref="L23:M23"/>
    <mergeCell ref="A6:A10"/>
    <mergeCell ref="H130:I130"/>
    <mergeCell ref="H114:I114"/>
    <mergeCell ref="H124:I124"/>
    <mergeCell ref="H125:I125"/>
    <mergeCell ref="H126:I126"/>
    <mergeCell ref="H127:I127"/>
    <mergeCell ref="H128:I128"/>
    <mergeCell ref="R9:S9"/>
    <mergeCell ref="R10:S10"/>
    <mergeCell ref="R6:S6"/>
    <mergeCell ref="R7:S7"/>
    <mergeCell ref="H129:I129"/>
    <mergeCell ref="H110:I110"/>
    <mergeCell ref="H111:I111"/>
    <mergeCell ref="H112:I112"/>
    <mergeCell ref="H113:I113"/>
    <mergeCell ref="H96:I96"/>
    <mergeCell ref="H97:I97"/>
    <mergeCell ref="H98:I98"/>
    <mergeCell ref="H108:I108"/>
    <mergeCell ref="H109:I109"/>
    <mergeCell ref="L12:M22"/>
    <mergeCell ref="H63:I6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9645-067A-4672-8BAA-D8A1816FA075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SprintBacklog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Phisanuwat Hongwilai</cp:lastModifiedBy>
  <dcterms:created xsi:type="dcterms:W3CDTF">2022-02-08T03:49:14Z</dcterms:created>
  <dcterms:modified xsi:type="dcterms:W3CDTF">2026-02-18T16:47:05Z</dcterms:modified>
</cp:coreProperties>
</file>